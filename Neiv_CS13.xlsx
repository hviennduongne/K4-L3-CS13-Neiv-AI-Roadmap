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thucchien\track1\day13\Neiv-AI-Roadmap\"/>
    </mc:Choice>
  </mc:AlternateContent>
  <xr:revisionPtr revIDLastSave="0" documentId="13_ncr:1_{D07B0708-641D-40C2-B452-EB60B11B0BF4}" xr6:coauthVersionLast="47" xr6:coauthVersionMax="47" xr10:uidLastSave="{00000000-0000-0000-0000-000000000000}"/>
  <bookViews>
    <workbookView xWindow="5136" yWindow="2268" windowWidth="17280" windowHeight="8880"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B10" i="9"/>
  <c r="B10" i="8"/>
  <c r="C10" i="8" s="1"/>
  <c r="B9" i="8"/>
  <c r="C9" i="8" s="1"/>
  <c r="B8" i="8"/>
  <c r="C8" i="8" s="1"/>
  <c r="C8" i="7"/>
  <c r="D8" i="7" s="1"/>
  <c r="C7" i="7"/>
  <c r="D7" i="7" s="1"/>
  <c r="C6" i="7"/>
  <c r="D6" i="7" s="1"/>
  <c r="C5" i="7"/>
  <c r="D5" i="7" s="1"/>
  <c r="C4" i="7"/>
  <c r="D4" i="7" s="1"/>
  <c r="M8" i="4"/>
  <c r="J8" i="4"/>
  <c r="K8" i="4" s="1"/>
  <c r="L8" i="4" s="1"/>
  <c r="M7" i="4"/>
  <c r="J7" i="4"/>
  <c r="K7" i="4" s="1"/>
  <c r="L7" i="4" s="1"/>
  <c r="M6" i="4"/>
  <c r="B7" i="8" s="1"/>
  <c r="C7" i="8" s="1"/>
  <c r="J6" i="4"/>
  <c r="K6" i="4" s="1"/>
  <c r="L6" i="4" s="1"/>
  <c r="J5" i="4"/>
  <c r="K5" i="4" s="1"/>
  <c r="L5" i="4" s="1"/>
  <c r="B12" i="8" s="1"/>
  <c r="C12" i="8" s="1"/>
  <c r="O14" i="3"/>
  <c r="M14" i="3"/>
  <c r="N14" i="3" s="1"/>
  <c r="O13" i="3"/>
  <c r="M13" i="3"/>
  <c r="N13" i="3" s="1"/>
  <c r="O12" i="3"/>
  <c r="M12" i="3"/>
  <c r="N12" i="3" s="1"/>
  <c r="O11" i="3"/>
  <c r="M11" i="3"/>
  <c r="N11" i="3" s="1"/>
  <c r="O10" i="3"/>
  <c r="M10" i="3"/>
  <c r="O9" i="3"/>
  <c r="M9" i="3"/>
  <c r="O8" i="3"/>
  <c r="M8" i="3"/>
  <c r="O7" i="3"/>
  <c r="M7" i="3"/>
  <c r="N7" i="3" s="1"/>
  <c r="O6" i="3"/>
  <c r="M6" i="3"/>
  <c r="N6" i="3" s="1"/>
  <c r="O5" i="3"/>
  <c r="M5" i="3"/>
  <c r="B12" i="2"/>
  <c r="B6" i="8" l="1"/>
  <c r="N9" i="3"/>
  <c r="N10" i="3"/>
  <c r="N8" i="3"/>
  <c r="B11" i="8"/>
  <c r="C11" i="8" s="1"/>
  <c r="B5" i="8"/>
  <c r="C5" i="8"/>
  <c r="N5" i="3"/>
  <c r="C6" i="8" l="1"/>
</calcChain>
</file>

<file path=xl/sharedStrings.xml><?xml version="1.0" encoding="utf-8"?>
<sst xmlns="http://schemas.openxmlformats.org/spreadsheetml/2006/main" count="304" uniqueCount="291">
  <si>
    <t>CS13 · Lộ trình sản phẩm AI — File thực hành · Đề 1 · SổSạch</t>
  </si>
  <si>
    <t>AI in Action · Track 1 · Khóa 4. FILE LÀM BÀI CỦA NHÓM · Đề 1 · SổSạch.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</si>
  <si>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</si>
  <si>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</si>
  <si>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1.</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</si>
  <si>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</si>
  <si>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</si>
  <si>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</si>
  <si>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</si>
  <si>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</si>
  <si>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</si>
  <si>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1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</si>
  <si>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</si>
  <si>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</si>
  <si>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</si>
  <si>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</si>
  <si>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</si>
  <si>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</si>
  <si>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</si>
  <si>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Đã điền sẵn ở trang 2, dòng 12–20: chi phí mỗi việc, biên lợi nhuận, điều kiện dừng</t>
  </si>
  <si>
    <t>Đọc để hiểu; không cần chép</t>
  </si>
  <si>
    <t>Bối cảnh, sản phẩm, "1 việc" là gì</t>
  </si>
  <si>
    <t>Giả thuyết và chỉ số ở trang 1</t>
  </si>
  <si>
    <t>Viết giả thuyết theo đúng "1 việc" của đề</t>
  </si>
  <si>
    <t>6 việc gợi ý</t>
  </si>
  <si>
    <t>Trang 1, cột B–C; nhóm được thêm việc của mình</t>
  </si>
  <si>
    <t>Giữ, bỏ hay đổi thứ tự đều phải ghi lý do ở cột Q</t>
  </si>
  <si>
    <t>Kết quả đánh giá đã có (bộ đề, cổng phát hành)</t>
  </si>
  <si>
    <t>Cổng đánh giá ở trang 2; việc cần làm trước ở trang 3</t>
  </si>
  <si>
    <t>Đề 2, 3: kết luận chưa phải "Phát hành" → có việc phải làm trước</t>
  </si>
  <si>
    <t>Chuyên gia và số giờ của họ</t>
  </si>
  <si>
    <t>Dòng "Điều kiện cần" ở trang 3; ô "Cần gì" ở trang 5</t>
  </si>
  <si>
    <t>Dẫn đúng số giờ trong hồ sơ</t>
  </si>
  <si>
    <t>Gợi ý về người duyệt và mức tự động</t>
  </si>
  <si>
    <t>Trang 2, cột H và I</t>
  </si>
  <si>
    <t>Đề 3: bác sĩ của bệnh viện không tính vào chi phí</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</si>
  <si>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</si>
  <si>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</si>
  <si>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</si>
  <si>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</si>
  <si>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</si>
  <si>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</si>
  <si>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</si>
  <si>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</si>
  <si>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</si>
  <si>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</si>
  <si>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</si>
  <si>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</si>
  <si>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</si>
  <si>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</si>
  <si>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</si>
  <si>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</si>
  <si>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</si>
  <si>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</si>
  <si>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</si>
  <si>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</si>
  <si>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</si>
  <si>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</si>
  <si>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</si>
  <si>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</si>
  <si>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</si>
  <si>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</si>
  <si>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</si>
  <si>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</si>
  <si>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</si>
  <si>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</si>
  <si>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</si>
  <si>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</si>
  <si>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</si>
  <si>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</si>
  <si>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</si>
  <si>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</si>
  <si>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</si>
  <si>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Hỗ trợ có duyệt</t>
  </si>
  <si>
    <t>Tự động một phần</t>
  </si>
  <si>
    <t>Tự động có giám sát</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</si>
  <si>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</si>
  <si>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</si>
  <si>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</si>
  <si>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</si>
  <si>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</si>
  <si>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</si>
  <si>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</si>
  <si>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</si>
  <si>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</si>
  <si>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</si>
  <si>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</si>
  <si>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</si>
  <si>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</si>
  <si>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</si>
  <si>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bình quân (65% doanh thu đến từ 30% văn phòng dùng nhiều)</t>
  </si>
  <si>
    <t>dòng 7</t>
  </si>
  <si>
    <t>Điều kiện dừng đã chọn (theo đề)</t>
  </si>
  <si>
    <t>NẾU doanh thu bình quân dưới 3,71 triệu/văn phòng trong 2 tháng liên tiếp, trên ít nhất 10 văn phòng, THÌ dừng mở rộng</t>
  </si>
  <si>
    <t>dòng 8</t>
  </si>
  <si>
    <t>Kịch bản xấu hết tiền ở tháng</t>
  </si>
  <si>
    <t>dòng 9</t>
  </si>
  <si>
    <t>Ghi chú: người duyệt của mình là kế toán viên của công ty. Gợi ý của đề: Mức 1 duyệt khoảng 20%; Mức 2 khoảng 10%.</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</si>
  <si>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</si>
  <si>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</si>
  <si>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</si>
  <si>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</si>
  <si>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</si>
  <si>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</si>
  <si>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</si>
  <si>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Giả thuyết</t>
  </si>
  <si>
    <t>Mức tự động (trang 2)</t>
  </si>
  <si>
    <t>Cổng đánh giá</t>
  </si>
  <si>
    <t>Điều kiện cần: dữ liệu / hạ tầng / tuân thủ</t>
  </si>
  <si>
    <t>Căn cứ kinh tế (số liệu của đề và trang 2)</t>
  </si>
  <si>
    <t>Điều kiện dừng / đổi hướng</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</si>
  <si>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</si>
  <si>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</si>
  <si>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</si>
  <si>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</si>
  <si>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</si>
  <si>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</si>
  <si>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</si>
  <si>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Ngày 60</t>
  </si>
  <si>
    <t>Ngày 90</t>
  </si>
  <si>
    <t>Có mô hình mới / giá gọi AI giảm mạnh</t>
  </si>
  <si>
    <t>Nền tảng hoặc đối thủ ra tính năng tương tự</t>
  </si>
  <si>
    <t>Quy định pháp lý thay đổi</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</si>
  <si>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</si>
  <si>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</si>
  <si>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</si>
  <si>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</si>
  <si>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</si>
  <si>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</si>
  <si>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3 việc chính</t>
  </si>
  <si>
    <t>Cần gì (người, tiền, dữ liệu)</t>
  </si>
  <si>
    <t>Rủi ro lớn nhất &amp; cách xử lý</t>
  </si>
  <si>
    <t>Khi nào xem lại</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</si>
  <si>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</si>
  <si>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</si>
  <si>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</si>
  <si>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</si>
  <si>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</si>
  <si>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</si>
  <si>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</si>
  <si>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</si>
  <si>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</si>
  <si>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</si>
  <si>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</si>
  <si>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</si>
  <si>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</si>
  <si>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</si>
  <si>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</si>
  <si>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</si>
  <si>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</si>
  <si>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</si>
  <si>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</si>
  <si>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</si>
  <si>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</si>
  <si>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</si>
  <si>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</si>
  <si>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</si>
  <si>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</si>
  <si>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</si>
  <si>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</si>
  <si>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</si>
  <si>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</si>
  <si>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</si>
  <si>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</si>
  <si>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</si>
  <si>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</si>
  <si>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</si>
  <si>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</si>
  <si>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</si>
  <si>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</si>
  <si>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</si>
  <si>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</si>
  <si>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</si>
  <si>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</si>
  <si>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</si>
  <si>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</si>
  <si>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</si>
  <si>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</si>
  <si>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</si>
  <si>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</si>
  <si>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</si>
  <si>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</si>
  <si>
    <t>Có</t>
  </si>
  <si>
    <t>Giữ nguyên 9 đầu vào kinh tế. Mọi số kết quả là tính toán theo giả định đề, chưa đo thực tế.</t>
  </si>
  <si>
    <t>Neiv chọn Đề 1 theo quyền lựa chọn học viên giao; không suy số nhóm. 1 việc = 1 hóa đơn đọc, đối chiếu, nhập.</t>
  </si>
  <si>
    <t>Giữ cả 6 việc gợi ý để so sánh; quyết định làm/mua/chờ/không làm có lý do ở Q.</t>
  </si>
  <si>
    <t>Bản 2: phát hành, 97,3%, 0 lỗi nghiêm trọng, 0 tầng tụt, kappa 0,90 trên 40 ca.</t>
  </si>
  <si>
    <t>Hạnh 3 giờ/tuần, Tùng có thể chấm nhưng chưa chốt số giờ. Vòng 40 ca 8,5 giờ, cần xếp lịch.</t>
  </si>
  <si>
    <t>Người duyệt tính phí: kế toán viên công ty. Hạnh kiểm 1% tuần đầu; tỷ lệ 20%/10% là kế hoạch.</t>
  </si>
  <si>
    <t>Đọc ảnh hoá đơn giấy, ảnh chụp</t>
  </si>
  <si>
    <t>Giảm 50% giờ nhập hoá đơn ảnh</t>
  </si>
  <si>
    <t>Ta tin rằng đọc ảnh hai bước cho nhân viên nhập liệu sẽ giảm 50% tổng giờ nhập hóa đơn ảnh, kể cả sửa và duyệt.</t>
  </si>
  <si>
    <t>Ngày 30: tổng phút/100 hóa đơn ảnh giảm ≥50% so với nhập tay trên cùng 100 ảnh, ghi đủ giờ sửa; 0 lỗi nghiêm trọng.</t>
  </si>
  <si>
    <t>Tự làm</t>
  </si>
  <si>
    <t>Bản 2 đã phát hành, đạt 97,3% trên bộ 40 ca. Điểm dữ liệu/đánh giá 0,9 vì mẫu nhỏ. Rủi ro 0,6 do đọc ảnh dễ phổ biến; giữ lợi thế quy trình và đo thời gian.</t>
  </si>
  <si>
    <t>Gắn cờ hoá đơn cần người xem</t>
  </si>
  <si>
    <t>Kế toán chỉ xem khoảng 20% hoá đơn</t>
  </si>
  <si>
    <t>Ta tin rằng gắn cờ đúng và lấy mẫu cho kế toán sẽ giữ tỷ lệ duyệt khoảng 20% mà vẫn chặn sai mã số thuế hoặc tiền.</t>
  </si>
  <si>
    <t>Ngày 30: ≤20% hóa đơn cần duyệt trên 1.000 hóa đơn liên tiếp; cờ thừa ≤10% tổng số; 0 lỗi nghiêm trọng trong mẫu kiểm.</t>
  </si>
  <si>
    <t>Ưu tiên cao nhất vì an toàn và chi phí. Mục tiêu cờ ≤10% tổng việc + mẫu ngẫu nhiên 10% tổng việc từ phần không cờ, không trùng mẫu. Nếu cờ tăng phải duyệt hết, chấp nhận chi phí cao.</t>
  </si>
  <si>
    <t>Nhập tự động hoá đơn điện tử (tệp gốc)</t>
  </si>
  <si>
    <t>Giảm 70% thời gian nhập hoá đơn điện tử</t>
  </si>
  <si>
    <t>Ta tin rằng dùng bộ nhập tệp gốc có sẵn cho văn phòng sẽ giảm 70% thời gian nhập hóa đơn điện tử mà không xây lại chức năng chung.</t>
  </si>
  <si>
    <t>Ngày 30: tổng phút/100 tệp giảm ≥70% so với thủ công trên cùng 100 tệp; 0 sai tiền/MST, 0 bản nhập trùng. Thời gian gồm xử lý lỗi.</t>
  </si>
  <si>
    <t>Mua</t>
  </si>
  <si>
    <t>Điểm cao nhưng tích hợp/tận dụng phần mềm văn phòng đã có thay vì tự xây. Rủi ro bị nuốt 1 vì hồ sơ xác nhận có sẵn. Kiểm tra giấy phép và phí tích hợp trước triển khai; chưa có báo giá.</t>
  </si>
  <si>
    <t>Đối chiếu mã số thuế người bán</t>
  </si>
  <si>
    <t>Không nhập nhầm người bán</t>
  </si>
  <si>
    <t>Ta tin rằng đối chiếu mã số thuế qua dịch vụ tra cứu và chặn trường hợp bất nhất sẽ giúp kế toán không nhập nhầm người bán.</t>
  </si>
  <si>
    <t>Ngày 60: 100% MST được tra cứu hoặc chuyển người; 0 sai người bán trên 300 hóa đơn kiểm tra. Dịch vụ lỗi: chặn tự nhập.</t>
  </si>
  <si>
    <t>Dùng dịch vụ tra cứu đã có, tự cấu hình quy tắc chặn và nhật ký. L=0,4 vì tích hợp cần ngữ cảnh. Là phụ thuộc an toàn trước tăng mức dù thứ hạng thấp hơn nhập tệp gốc. Chưa có báo giá dịch vụ.</t>
  </si>
  <si>
    <t>Gợi ý tài khoản hạch toán</t>
  </si>
  <si>
    <t>Giảm 30% thời gian hạch toán</t>
  </si>
  <si>
    <t>Ta tin rằng gợi ý tài khoản theo dữ liệu được cho phép của từng doanh nghiệp sẽ giảm 30% thời gian hạch toán khi kế toán xác nhận.</t>
  </si>
  <si>
    <t>Tháng 9: sau khi có dữ liệu và bộ đề riêng ≥100 bút toán, tổng phút/bút toán giảm ≥30%, kế toán chấp thuận gợi ý ≥90%; chưa có dữ liệu thì chưa thử.</t>
  </si>
  <si>
    <t>Chờ</t>
  </si>
  <si>
    <t>Hồ sơ chưa có dữ liệu hạch toán nên J=0, K=0,1. Xem lại tháng 6 và 9; xin quyền sử dụng, chuẩn hóa tài khoản, lập bộ đề riêng trước. Không dùng bộ 40 hóa đơn để chứng minh hạch toán.</t>
  </si>
  <si>
    <t>Trả lời câu hỏi thuế chung cho khách của văn phòng</t>
  </si>
  <si>
    <t>Bớt cuộc gọi hỏi đáp</t>
  </si>
  <si>
    <t>Ta tin rằng trả lời câu hỏi thuế chung có nguồn và kế toán duyệt sẽ giảm cuộc gọi hỏi đáp, nhưng cần kiểm tra giá trị so với công cụ miễn phí.</t>
  </si>
  <si>
    <t>Nếu cân nhắc lại tháng 6: kiểm ≥100 câu hỏi có đáp án chuyên gia, đúng và có nguồn ≥95%, cuộc gọi/khách giảm ≥20% trong 4 tuần; hiện không triển khai.</t>
  </si>
  <si>
    <t>Không làm</t>
  </si>
  <si>
    <t>Gợi ý AI: nội dung hỏi đáp chung dễ bị công cụ miễn phí làm thay trong 12 tháng. Đây là nhận định, chưa kiểm chứng thị trường; hồ sơ không có bộ đề thuế. Không phân tán giờ chuyên gia; xem lại chỉ khi có nhu cầu riêng.</t>
  </si>
  <si>
    <t>Gợi ý trường dữ liệu, chưa tự ghi vào sổ.</t>
  </si>
  <si>
    <t>Kế toán viên công ty xem và xác nhận 100% trước khi nhập.</t>
  </si>
  <si>
    <t>Mức tham chiếu/khôi phục. Bản 2 có 0 lỗi nghiêm trọng/40 ca, chưa suy ra tỷ lệ lỗi thật bằng 0.</t>
  </si>
  <si>
    <t>Dữ liệu được phép dùng, phân quyền, nhật ký, chống nhập trùng và nút dừng.</t>
  </si>
  <si>
    <t>Khởi đầu hoặc lùi mức khi vi phạm cổng.</t>
  </si>
  <si>
    <t>Người của mình</t>
  </si>
  <si>
    <t>Đọc ảnh, gắn cờ và nhập phần không cờ sau kiểm tra quy tắc.</t>
  </si>
  <si>
    <t>Kế toán viên công ty duyệt mọi cờ + mẫu 10% tổng việc từ phần không cờ. Chị Hạnh kiểm 1% hóa đơn thật tuần đầu, nằm trong mẫu này.</t>
  </si>
  <si>
    <t>Giữ cổng hồ sơ: đạt quy về thực tế ≥95%, 0 lỗi nghiêm trọng, 0 tầng tụt, kappa ≥0,6 trên đủ 40 ca. Chị Hạnh/anh Tùng xác nhận. Chạy thử ≥1.000 hóa đơn, kiểm mẫu ≥200, cờ thừa ≤10% tổng việc.</t>
  </si>
  <si>
    <t>Bản 2 đã phát hành: 97,3%, 0 lỗi, 0 tầng tụt, kappa 0,90. Gắn nhãn AI, quyền dữ liệu, nhật ký thay đổi, chặn MST/tiền bất nhất. Tỷ lệ duyệt 20% là giả định, tăng nếu cờ tăng.</t>
  </si>
  <si>
    <t>0–3 tháng, rà ngày 30. Thử ở văn phòng hiện có.</t>
  </si>
  <si>
    <t>Tự nhập hóa đơn qua đối chiếu MST, tiền và chống trùng. Ca ngoài phạm vi vẫn chuyển người.</t>
  </si>
  <si>
    <t>Kế toán viên công ty duyệt mọi cờ; dự kiến 5% tổng việc gắn cờ + 5% tổng việc lấy mẫu không cờ. Hạnh xác nhận ngoại lệ.</t>
  </si>
  <si>
    <t>Sau sửa/đổi bản: chạy lại 40 ca, giữ ≥95%, 0 lỗi nghiêm trọng, 0 tầng tụt, kappa ≥0,6. Kiểm độc lập ≥300 hóa đơn thật có đủ 4 tầng: 0 lỗi MST/tiền, đạt quy về thực tế ≥95%. Hạnh ký cổng, Tùng đối chiếu.</t>
  </si>
  <si>
    <t>Hoàn tất dịch vụ MST, timeout phải chặn, truy vết và quay lui. Kiểm mẫu 300 bằng nhân sự công ty; chuyên gia xử lý bất đồng. Tỷ lệ duyệt 10% chỉ dùng khi cờ ≤5%; vượt thì tăng duyệt.</t>
  </si>
  <si>
    <t>Định hướng tháng 3–6, chỉ mở sau cổng và đủ nhân sự.</t>
  </si>
  <si>
    <t>Tự nhập phần đủ điều kiện, giám sát liên tục; không xử lý ngoài phạm vi.</t>
  </si>
  <si>
    <t>Kế toán viên công ty duyệt mọi cờ và mẫu, dự kiến 2% cờ +3% tổng việc lấy mẫu không cờ. Có quyền dừng tức thì.</t>
  </si>
  <si>
    <t>Chưa cam kết: 0 lỗi MST/tiền trên ≥1.000 hóa đơn kiểm trong ≥4 tuần; bộ 40 ca đạt ≥95%, 0 tầng tụt, kappa ≥0,6. Cờ ≤2% tổng việc. Hạnh xác nhận; lãnh đạo duyệt sau kiểm chi phí.</t>
  </si>
  <si>
    <t>Đủ dữ liệu theo từng tầng, cảnh báo, hoàn tác và người trực. Phải có kế hoạch kinh phí kiểm mẫu bổ sung. 0/1.000 chỉ cho giới hạn gần đúng 0,3% ở 95%, không bảo đảm tuyệt đối.</t>
  </si>
  <si>
    <t>Khám phá tháng 6–12, giữ Mức 2 nếu thiếu bằng chứng.</t>
  </si>
  <si>
    <t>Đọc ảnh và gắn cờ (việc 1–2); tận dụng nhập tệp gốc (3), tích hợp tra cứu MST (4) làm điều kiện an toàn.</t>
  </si>
  <si>
    <t>Ổn định đối chiếu MST và xử lý ngoại lệ; mở Mức 2 nếu qua cổng. Chỉ tuyển thêm văn phòng khi có người duyệt và kinh phí.</t>
  </si>
  <si>
    <t>Mở rộng có điều kiện; xem xét Mức 3. Khám phá gợi ý hạch toán (5) khi đủ dữ liệu. Không làm hỏi đáp thuế chung (6).</t>
  </si>
  <si>
    <t>Ta tin rằng đọc ảnh + gắn cờ cho văn phòng thử nghiệm sẽ giảm 50% giờ nhập ảnh và giới hạn duyệt khoảng 20% mà vẫn chặn lỗi tiền/MST.</t>
  </si>
  <si>
    <t>Ta tin rằng tra cứu MST và chặn bất nhất sẽ giữ chất lượng khi giảm duyệt xuống 10%; chỉ mở quy mô khi chứng minh trên dữ liệu thật.</t>
  </si>
  <si>
    <t>Ta tin rằng dữ liệu hạch toán có phép sẽ giúp giảm 30% thời gian hạch toán; kiểm chứng riêng thay vì suy từ chất lượng đọc ảnh.</t>
  </si>
  <si>
    <t>Ngày 30: giảm ≥50% tổng phút/100 ảnh; nhập tệp giảm ≥70%/100 tệp; cờ thừa ≤10%/1.000 hóa đơn; 0 lỗi nghiêm trọng trong mẫu.</t>
  </si>
  <si>
    <t>Ngày 90–180: 0 lỗi MST/tiền trên ≥300 hóa đơn kiểm, đạt quy về thực tế ≥95%; cờ ≤5% tổng việc, duyệt dự kiến 10%.</t>
  </si>
  <si>
    <t>Tháng 9: ≥100 bút toán, giảm ≥30% phút/bút toán, chấp thuận ≥90%. Mức 3 cần 0 lỗi nghiêm trọng/1.000 hóa đơn kiểm trong ≥4 tuần.</t>
  </si>
  <si>
    <t>Mức 1: duyệt dự kiến 20%; mọi cờ + mẫu không trùng. Lùi Mức 0 khi có lỗi nghiêm trọng.</t>
  </si>
  <si>
    <t>Mức 2: duyệt dự kiến 10%; mọi cờ + mẫu không trùng; nếu cờ tăng thì tăng duyệt, không bỏ cờ.</t>
  </si>
  <si>
    <t>Mức 2 là mặc định. Mức 3 (duyệt 5%) chỉ là khám phá, không mở theo lịch nếu chưa qua cổng.</t>
  </si>
  <si>
    <t>Cổng Mức 1 trang 2: bộ 40 ca ≥95%, 0 lỗi nghiêm trọng, 0 tầng tụt, kappa ≥0,6; kiểm ≥200/1.000 hóa đơn thử. Hạnh/Tùng xác nhận.</t>
  </si>
  <si>
    <t>Cổng Mức 2 trang 2: giữ cổng 40 ca + kiểm độc lập ≥300 hóa đơn đủ 4 tầng, 0 lỗi nghiêm trọng. Quy tắc 3/n: 0/300 vẫn có giới hạn trên gần 1%, không khẳng định an toàn tuyệt đối.</t>
  </si>
  <si>
    <t>Cổng Mức 3 trang 2: kiểm ≥1.000, 0 lỗi tiền/MST, đủ 4 tuần; 3/n≈0,3%. Hạch toán có bộ đề riêng và người duyệt, không dùng chung cổng đọc ảnh.</t>
  </si>
  <si>
    <t>Quyền dùng dữ liệu, ẩn thông tin không cần, phân quyền/nhật ký/hoàn tác, thông báo AI. Hạnh ≤3 giờ/tuần; vòng 40 ca tốn 8,5 giờ nên chia ≥3 tuần, Tùng hỗ trợ theo lịch xác nhận. Duyệt 20% ×12.000×1,5 phút=60 giờ công ty/tháng.</t>
  </si>
  <si>
    <t>Xác nhận giờ Tùng, ngân sách dịch vụ MST/phần mềm và nhân sự duyệt. 10% ×12.000×1,5 phút=30 giờ/tháng, chưa kể chấm cổng độc lập. Kiểm 300 ca tối thiểu 7,5 giờ ở mức rà nhanh; ca khó cần thêm giờ.</t>
  </si>
  <si>
    <t>Xin dữ liệu hạch toán có phép, tạo nhãn/bộ đề và kinh phí kiểm ≥1.000 ca (ít nhất 25 giờ rà nhanh). Xác nhận khả năng cung cấp chuyên gia trước mọi mở rộng. Rà soát nghĩa vụ pháp lý trước phát hành.</t>
  </si>
  <si>
    <t>Giữ số liệu đề: AI 254đ + khác 200đ +20%×1,5×50.000/60=704đ/việc; 1.760 việc, 3,97 triệu/khách/tháng: biên 68,79%. Mức 0:1.704đ, biên 24,46%. Doanh thu tập trung; kịch bản xấu hết tiền tháng 7. Phí mua chưa báo giá.</t>
  </si>
  <si>
    <t>Mức 2:579đ/việc, biên 74,33% với 3,97 triệu và 1.760 việc. Nếu doanh thu còn 3,71 triệu, biên ≈72,53%. Cần kiểm phí mua và lượng việc thực tế; 12.000 việc/văn phòng thử không được thay cho 1.760 việc/khách giả định.</t>
  </si>
  <si>
    <t>Mức 3:516,5đ/việc, biên 77,10% theo đề, chưa gồm chi phí mua phát sinh vượt 200đ. Trước tháng 7 phải có hợp đồng/nguồn tiền hoặc giảm phạm vi vì kịch bản hết tiền tháng 7. Không suy lợi nhuận từ mẫu nhỏ.</t>
  </si>
  <si>
    <t>NẾU phát hiện ≥1 lỗi MST/tiền lúc nào THÌ dừng tự nhập và lùi Mức 0. NẾU ngày 30 cờ thừa &gt;10%/1.000 ca hoặc thời gian giảm &lt;50%/100 ảnh THÌ sửa, giữ quy mô. NẾU ARPA &lt;3,71 triệu trong 2 tháng liên tiếp trên ≥10 văn phòng THÌ dừng mở rộng; chưa đủ 10 thì chưa kết luận.</t>
  </si>
  <si>
    <t>NẾU ngày 90 không đủ 300 ca kiểm hoặc có ≥1 lỗi MST/tiền THÌ giữ/lùi mức và sửa. NẾU doanh thu &lt;3,71 triệu/văn phòng trong 2 tháng, trên ≥10 văn phòng THÌ dừng mở rộng. Kiểm hàng tháng, thiếu mẫu thì giữ thử nghiệm.</t>
  </si>
  <si>
    <t>NẾU tháng 6 chưa có dữ liệu/bộ đề hạch toán THÌ tiếp tục Chờ và xem lại tháng 9. NẾU tháng 9 gợi ý chấp thuận &lt;90%/100 bút toán THÌ dừng nhánh. NẾU thiếu kinh phí trước tháng 7 THÌ dừng tuyển mới, xử lý nghĩa vụ hiện có.</t>
  </si>
  <si>
    <t>Ngày 30: phút/100 ảnh và 100 tệp so với thủ công, cờ thừa/1.000, mẫu ≥200, lỗi MST/tiền; chi phí duyệt thực.</t>
  </si>
  <si>
    <t>Đi tiếp Mức 1 nếu đạt mục tiêu; sửa khi giảm giờ &lt;50% hoặc cờ thừa &gt;10%; ≥1 lỗi nghiêm trọng thì dừng tự nhập ngay. Chưa đủ mẫu thì giữ thử nghiệm.</t>
  </si>
  <si>
    <t>Hạnh xác nhận chất lượng, Tùng đối chiếu; lãnh đạo sản phẩm quyết phạm vi.</t>
  </si>
  <si>
    <t>Ngày 60: bộ 40 ca hồi quy, 300 hóa đơn kiểm tích lũy, tỷ lệ duyệt, chi phí mua; ARPA 2 tháng nếu đã có ≥10 văn phòng.</t>
  </si>
  <si>
    <t>Sửa/giữ mức nếu thiếu mẫu hoặc không đạt cổng. Dừng mở rộng nếu ARPA &lt;3,71 triệu trong 2 tháng và ≥10 văn phòng; chưa đủ 10 thì không coi là đạt.</t>
  </si>
  <si>
    <t>Hạnh ký cổng, kỹ sư xác nhận chặn/hoàn tác; lãnh đạo sản phẩm và tài chính quyết.</t>
  </si>
  <si>
    <t>Ngày 90: đủ cổng Mức 2, 0 lỗi/300 hóa đơn kiểm, biên thực ≥60%, doanh thu và số văn phòng; khả năng tiền trước tháng 7.</t>
  </si>
  <si>
    <t>Đi tiếp Mức 2 khi đủ mọi cổng. Thiếu bằng chứng: giữ Mức 1; sai tiền/MST: dừng tự nhập. Đổi hướng sang tích hợp nếu phí mua làm biên &lt;60% và không giảm được an toàn.</t>
  </si>
  <si>
    <t>Lãnh đạo sản phẩm quyết sau xác nhận của Hạnh, kỹ sư và tài chính.</t>
  </si>
  <si>
    <t>So bản mới trên toàn bộ 40 ca, kiểm đủ 4 tầng, ≥95%, 0 lỗi, 0 tầng tụt; tính lại chi phí gọi và duyệt, thời gian đáp ứng.</t>
  </si>
  <si>
    <t>Chỉ đổi mô hình sau cổng và kế hoạch quay lui. Giá rẻ không đủ lý do tự tăng mức. Nếu kém chất lượng thì giữ bản đã qua cổng.</t>
  </si>
  <si>
    <t>Kỹ sư chạy kiểm, Hạnh/Tùng chấm; lãnh đạo sản phẩm duyệt đổi.</t>
  </si>
  <si>
    <t>So tính năng nhập tệp/MST/đọc ảnh với nhu cầu thực, kết quả trên cùng 100 tệp/ảnh và tổng phí tích hợp + vận hành.</t>
  </si>
  <si>
    <t>Mua/tận dụng khi đạt cổng và tổng chi phí tốt hơn; giữ quy tắc kiểm soát đặc thù. Không mở nhánh hỏi đáp thuế chỉ để bắt kịp đối thủ.</t>
  </si>
  <si>
    <t>Lãnh đạo sản phẩm và tài chính, Hạnh xác nhận nghiệp vụ.</t>
  </si>
  <si>
    <t>Khi quy định đổi: kiểm văn bản gốc, quyền xử lý dữ liệu, thông báo AI, lưu trữ, nhà cung cấp và phạm vi áp dụng với hỗ trợ pháp lý.</t>
  </si>
  <si>
    <t>Tạm dừng chức năng bị ảnh hưởng cho tới khi xác nhận tuân thủ; sửa quyền truy cập/hợp đồng/quy trình, ghi phiên bản và rà lại cổng trước mở.</t>
  </si>
  <si>
    <t>Người phụ trách pháp lý/dữ liệu được chỉ định và lãnh đạo sản phẩm.</t>
  </si>
  <si>
    <t>Đề xuất triển khai SổSạch ở Mức 1, duyệt 20% hóa đơn, mục tiêu giảm 50% giờ nhập ảnh. Chỉ lên Mức 2 khi qua cổng chất lượng, rà soát quyết định ngày 90.</t>
  </si>
  <si>
    <t>0–3 tháng: đọc ảnh và gắn cờ. 3–6 tháng: đối chiếu mã số thuế, tích hợp dịch vụ sẵn có. 6–12 tháng: mở rộng có điều kiện, khám phá hạch toán khi đủ dữ liệu.</t>
  </si>
  <si>
    <t>Cần bộ đề 40 hóa đơn, quyền dùng dữ liệu và kết nối phần mềm. Chị Hạnh tối đa 3 giờ/tuần, anh Tùng hỗ trợ chấm. Công ty bố trí 60 giờ duyệt/tháng cho 12.000 hóa đơn. Mức 1: 704 đồng/việc, biên gộp 68,79% theo giả định đề.</t>
  </si>
  <si>
    <t>Sai mã số thuế hoặc tiền: ngừng tự nhập ngay. Duyệt mọi cờ và lấy mẫu. Nếu doanh thu dưới 3,71 triệu/văn phòng trong 2 tháng, với ít nhất 10 văn phòng, dừng mở rộng. Chưa đủ mẫu thì giữ thử nghiệm, lưu ý kịch bản hết tiền tháng 7.</t>
  </si>
  <si>
    <t>Ngày 30/60/90 từ lúc bắt đầu: xem lỗi, cờ thừa, giờ nhập và chi phí. Mức 2 cần 0 lỗi nghiêm trọng/300 hóa đơn kiểm tra, đạt từ 95%, không tầng tụt. Mô hình, giá hoặc quy định đổi: rà soát ngay. Các ngưỡng mới là đề xuất cần kiểm chứng.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</si>
</sst>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Red]\-#,##0"/>
    <numFmt numFmtId="165" formatCode="0.0"/>
  </numFmts>
  <fonts count="9" x14ac:knownFonts="1">
    <font>
      <sz val="11"/>
      <color theme="1"/>
      <name val="Calibri"/>
      <family val="2"/>
    </font>
    <font>
      <sz val="10"/>
      <name val="Arial"/>
    </font>
    <font>
      <b/>
      <sz val="14"/>
      <name val="Cambria"/>
    </font>
    <font>
      <i/>
      <sz val="11"/>
      <color rgb="FF595959"/>
      <name val="Cambria"/>
    </font>
    <font>
      <b/>
      <sz val="11"/>
      <color rgb="FFFFFFFF"/>
      <name val="Cambria"/>
    </font>
    <font>
      <b/>
      <sz val="11"/>
      <name val="Cambria"/>
    </font>
    <font>
      <sz val="11"/>
      <name val="Calibri"/>
    </font>
    <font>
      <i/>
      <sz val="10"/>
      <color rgb="FF595959"/>
      <name val="Calibri"/>
    </font>
    <font>
      <b/>
      <sz val="12"/>
      <name val="Cambria"/>
    </font>
  </fonts>
  <fills count="5">
    <fill>
      <patternFill patternType="none"/>
    </fill>
    <fill>
      <patternFill patternType="gray125"/>
    </fill>
    <fill>
      <patternFill patternType="solid">
        <fgColor rgb="FFFFF2CC"/>
      </patternFill>
    </fill>
    <fill>
      <patternFill patternType="solid">
        <fgColor rgb="FFE2EFDA"/>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32">
    <xf numFmtId="0" fontId="0" fillId="0" borderId="0" xfId="0"/>
    <xf numFmtId="0" fontId="2" fillId="0" borderId="0" xfId="0" applyFont="1"/>
    <xf numFmtId="0" fontId="3" fillId="0" borderId="0" xfId="0" applyFont="1"/>
    <xf numFmtId="0" fontId="0" fillId="2" borderId="0" xfId="0" applyFill="1"/>
    <xf numFmtId="0" fontId="0" fillId="3" borderId="0" xfId="0" applyFill="1"/>
    <xf numFmtId="0" fontId="4"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5" fillId="0" borderId="0" xfId="0" applyFont="1"/>
    <xf numFmtId="0" fontId="4"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6" fillId="2" borderId="0" xfId="0" applyFont="1" applyFill="1" applyProtection="1">
      <protection locked="0"/>
    </xf>
    <xf numFmtId="9" fontId="6" fillId="2" borderId="0" xfId="0" applyNumberFormat="1" applyFont="1" applyFill="1" applyProtection="1">
      <protection locked="0"/>
    </xf>
    <xf numFmtId="164" fontId="6" fillId="3" borderId="0" xfId="0" applyNumberFormat="1" applyFont="1" applyFill="1"/>
    <xf numFmtId="9" fontId="6" fillId="3" borderId="0" xfId="0" applyNumberFormat="1" applyFont="1" applyFill="1"/>
    <xf numFmtId="0" fontId="6" fillId="3" borderId="0" xfId="0" applyFont="1" applyFill="1"/>
    <xf numFmtId="0" fontId="6" fillId="0" borderId="0" xfId="0" applyFont="1"/>
    <xf numFmtId="164" fontId="6" fillId="2" borderId="0" xfId="0" applyNumberFormat="1" applyFont="1" applyFill="1" applyProtection="1">
      <protection locked="0"/>
    </xf>
    <xf numFmtId="0" fontId="7" fillId="0" borderId="0" xfId="0" applyFont="1"/>
    <xf numFmtId="165" fontId="6" fillId="2" borderId="0" xfId="0" applyNumberFormat="1" applyFont="1" applyFill="1" applyProtection="1">
      <protection locked="0"/>
    </xf>
    <xf numFmtId="1" fontId="6" fillId="2" borderId="0" xfId="0" applyNumberFormat="1" applyFont="1" applyFill="1" applyProtection="1">
      <protection locked="0"/>
    </xf>
    <xf numFmtId="0" fontId="5" fillId="0" borderId="1" xfId="0" applyFont="1" applyBorder="1" applyAlignment="1">
      <alignment vertical="top" wrapText="1"/>
    </xf>
    <xf numFmtId="0" fontId="5" fillId="0" borderId="1" xfId="0" applyFont="1" applyBorder="1"/>
    <xf numFmtId="1" fontId="6" fillId="3" borderId="0" xfId="0" applyNumberFormat="1" applyFont="1" applyFill="1"/>
    <xf numFmtId="0" fontId="0" fillId="0" borderId="0" xfId="0" applyAlignment="1">
      <alignment vertical="top" wrapText="1"/>
    </xf>
    <xf numFmtId="0" fontId="0" fillId="2" borderId="0" xfId="0" applyFill="1" applyProtection="1">
      <protection locked="0"/>
    </xf>
    <xf numFmtId="0" fontId="8" fillId="0" borderId="0" xfId="0" applyFont="1"/>
    <xf numFmtId="0" fontId="5" fillId="0" borderId="0" xfId="0" applyFont="1" applyAlignment="1">
      <alignment vertical="top" wrapText="1"/>
    </xf>
    <xf numFmtId="0" fontId="6" fillId="0" borderId="0" xfId="0" applyFont="1" applyAlignment="1">
      <alignment vertical="top" wrapText="1"/>
    </xf>
    <xf numFmtId="0" fontId="6" fillId="2" borderId="0" xfId="0" applyFont="1" applyFill="1" applyAlignment="1" applyProtection="1">
      <alignment wrapText="1"/>
      <protection locked="0"/>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ColWidth="8.6640625" defaultRowHeight="14.4" x14ac:dyDescent="0.3"/>
  <cols>
    <col min="1" max="1" width="120" customWidth="1"/>
  </cols>
  <sheetData>
    <row r="1" spans="1:1" ht="17.25" customHeight="1" x14ac:dyDescent="0.3">
      <c r="A1" s="1" t="s">
        <v>0</v>
      </c>
    </row>
    <row r="2" spans="1:1" ht="15" customHeight="1" x14ac:dyDescent="0.3">
      <c r="A2" s="2" t="s">
        <v>1</v>
      </c>
    </row>
    <row r="4" spans="1:1" ht="15" customHeight="1" x14ac:dyDescent="0.3">
      <c r="A4" t="s">
        <v>2</v>
      </c>
    </row>
    <row r="5" spans="1:1" ht="15" customHeight="1" x14ac:dyDescent="0.3">
      <c r="A5" t="s">
        <v>3</v>
      </c>
    </row>
    <row r="6" spans="1:1" ht="15" customHeight="1" x14ac:dyDescent="0.3">
      <c r="A6" t="s">
        <v>4</v>
      </c>
    </row>
    <row r="7" spans="1:1" ht="15" customHeight="1" x14ac:dyDescent="0.3">
      <c r="A7" t="s">
        <v>5</v>
      </c>
    </row>
    <row r="8" spans="1:1" ht="15" customHeight="1" x14ac:dyDescent="0.3">
      <c r="A8" t="s">
        <v>6</v>
      </c>
    </row>
    <row r="9" spans="1:1" ht="15" customHeight="1" x14ac:dyDescent="0.3">
      <c r="A9" t="s">
        <v>7</v>
      </c>
    </row>
    <row r="11" spans="1:1" ht="15" customHeight="1" x14ac:dyDescent="0.3">
      <c r="A11" t="s">
        <v>8</v>
      </c>
    </row>
    <row r="12" spans="1:1" ht="15" customHeight="1" x14ac:dyDescent="0.3">
      <c r="A12" s="3" t="s">
        <v>9</v>
      </c>
    </row>
    <row r="13" spans="1:1" ht="15" customHeight="1" x14ac:dyDescent="0.3">
      <c r="A13" s="4" t="s">
        <v>10</v>
      </c>
    </row>
  </sheetData>
  <sheetProtection sheet="true" formatColumns="false" formatRows="fals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heetViews>
  <sheetFormatPr defaultColWidth="8.6640625" defaultRowHeight="14.4" x14ac:dyDescent="0.3"/>
  <cols>
    <col min="1" max="1" width="52" customWidth="1"/>
    <col min="2" max="2" width="14" customWidth="1"/>
    <col min="3" max="4" width="46" customWidth="1"/>
    <col min="5" max="5" width="36" customWidth="1"/>
  </cols>
  <sheetData>
    <row r="1" spans="1:5" ht="17.25" customHeight="1" x14ac:dyDescent="0.3">
      <c r="A1" s="1" t="s">
        <v>11</v>
      </c>
    </row>
    <row r="2" spans="1:5" ht="15" customHeight="1" x14ac:dyDescent="0.3">
      <c r="A2" s="2" t="s">
        <v>12</v>
      </c>
    </row>
    <row r="4" spans="1:5" ht="26.25" customHeight="1" x14ac:dyDescent="0.3">
      <c r="A4" s="5" t="s">
        <v>13</v>
      </c>
      <c r="B4" s="5" t="s">
        <v>14</v>
      </c>
      <c r="C4" s="5" t="s">
        <v>15</v>
      </c>
      <c r="D4" s="5" t="s">
        <v>16</v>
      </c>
      <c r="E4" s="5" t="s">
        <v>17</v>
      </c>
    </row>
    <row r="5" spans="1:5" ht="43.2" x14ac:dyDescent="0.3">
      <c r="A5" s="6" t="s">
        <v>18</v>
      </c>
      <c r="B5" s="7" t="s">
        <v>182</v>
      </c>
      <c r="C5" s="6" t="s">
        <v>19</v>
      </c>
      <c r="D5" s="6" t="s">
        <v>20</v>
      </c>
      <c r="E5" s="7" t="s">
        <v>183</v>
      </c>
    </row>
    <row r="6" spans="1:5" ht="43.2" x14ac:dyDescent="0.3">
      <c r="A6" s="6" t="s">
        <v>21</v>
      </c>
      <c r="B6" s="7" t="s">
        <v>182</v>
      </c>
      <c r="C6" s="6" t="s">
        <v>22</v>
      </c>
      <c r="D6" s="6" t="s">
        <v>23</v>
      </c>
      <c r="E6" s="7" t="s">
        <v>184</v>
      </c>
    </row>
    <row r="7" spans="1:5" ht="28.8" x14ac:dyDescent="0.3">
      <c r="A7" s="6" t="s">
        <v>24</v>
      </c>
      <c r="B7" s="7" t="s">
        <v>182</v>
      </c>
      <c r="C7" s="6" t="s">
        <v>25</v>
      </c>
      <c r="D7" s="6" t="s">
        <v>26</v>
      </c>
      <c r="E7" s="7" t="s">
        <v>185</v>
      </c>
    </row>
    <row r="8" spans="1:5" ht="28.8" x14ac:dyDescent="0.3">
      <c r="A8" s="6" t="s">
        <v>27</v>
      </c>
      <c r="B8" s="7" t="s">
        <v>182</v>
      </c>
      <c r="C8" s="6" t="s">
        <v>28</v>
      </c>
      <c r="D8" s="6" t="s">
        <v>29</v>
      </c>
      <c r="E8" s="7" t="s">
        <v>186</v>
      </c>
    </row>
    <row r="9" spans="1:5" ht="43.2" x14ac:dyDescent="0.3">
      <c r="A9" s="6" t="s">
        <v>30</v>
      </c>
      <c r="B9" s="7" t="s">
        <v>182</v>
      </c>
      <c r="C9" s="6" t="s">
        <v>31</v>
      </c>
      <c r="D9" s="6" t="s">
        <v>32</v>
      </c>
      <c r="E9" s="7" t="s">
        <v>187</v>
      </c>
    </row>
    <row r="10" spans="1:5" ht="43.2" x14ac:dyDescent="0.3">
      <c r="A10" s="6" t="s">
        <v>33</v>
      </c>
      <c r="B10" s="7" t="s">
        <v>182</v>
      </c>
      <c r="C10" s="6" t="s">
        <v>34</v>
      </c>
      <c r="D10" s="6" t="s">
        <v>35</v>
      </c>
      <c r="E10" s="7" t="s">
        <v>188</v>
      </c>
    </row>
    <row r="12" spans="1:5" ht="15" customHeight="1" x14ac:dyDescent="0.3">
      <c r="A12" s="8" t="s">
        <v>36</v>
      </c>
      <c r="B12" s="4">
        <f>COUNTIF(B5:B10,"Có")</f>
        <v>6</v>
      </c>
    </row>
    <row r="13" spans="1:5" ht="15" customHeight="1" x14ac:dyDescent="0.3">
      <c r="A13" s="2" t="s">
        <v>37</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workbookViewId="0"/>
  </sheetViews>
  <sheetFormatPr defaultColWidth="8.6640625" defaultRowHeight="14.4" x14ac:dyDescent="0.3"/>
  <cols>
    <col min="1" max="1" width="4" customWidth="1"/>
    <col min="2" max="2" width="30" customWidth="1"/>
    <col min="3" max="3" width="28" customWidth="1"/>
    <col min="4" max="4" width="38" customWidth="1"/>
    <col min="5" max="5" width="32" customWidth="1"/>
    <col min="6" max="6" width="8" customWidth="1"/>
    <col min="7" max="7" width="10"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3">
      <c r="A1" s="1" t="s">
        <v>38</v>
      </c>
    </row>
    <row r="2" spans="1:17" ht="15" customHeight="1" x14ac:dyDescent="0.3">
      <c r="A2" s="2" t="s">
        <v>39</v>
      </c>
    </row>
    <row r="4" spans="1:17" ht="66" customHeight="1" x14ac:dyDescent="0.3">
      <c r="A4" s="9" t="s">
        <v>40</v>
      </c>
      <c r="B4" s="9" t="s">
        <v>41</v>
      </c>
      <c r="C4" s="9" t="s">
        <v>42</v>
      </c>
      <c r="D4" s="9" t="s">
        <v>43</v>
      </c>
      <c r="E4" s="9" t="s">
        <v>44</v>
      </c>
      <c r="F4" s="9" t="s">
        <v>45</v>
      </c>
      <c r="G4" s="9" t="s">
        <v>46</v>
      </c>
      <c r="H4" s="9" t="s">
        <v>47</v>
      </c>
      <c r="I4" s="9" t="s">
        <v>48</v>
      </c>
      <c r="J4" s="9" t="s">
        <v>49</v>
      </c>
      <c r="K4" s="9" t="s">
        <v>50</v>
      </c>
      <c r="L4" s="9" t="s">
        <v>51</v>
      </c>
      <c r="M4" s="9" t="s">
        <v>52</v>
      </c>
      <c r="N4" s="9" t="s">
        <v>53</v>
      </c>
      <c r="O4" s="9" t="s">
        <v>54</v>
      </c>
      <c r="P4" s="9" t="s">
        <v>55</v>
      </c>
      <c r="Q4" s="9" t="s">
        <v>56</v>
      </c>
    </row>
    <row r="5" spans="1:17" ht="57.6" x14ac:dyDescent="0.3">
      <c r="A5" s="10">
        <v>1</v>
      </c>
      <c r="B5" s="7" t="s">
        <v>189</v>
      </c>
      <c r="C5" s="7" t="s">
        <v>190</v>
      </c>
      <c r="D5" s="7" t="s">
        <v>191</v>
      </c>
      <c r="E5" s="7" t="s">
        <v>192</v>
      </c>
      <c r="F5" s="7">
        <v>4</v>
      </c>
      <c r="G5" s="7">
        <v>4</v>
      </c>
      <c r="H5" s="7">
        <v>0.8</v>
      </c>
      <c r="I5" s="7">
        <v>3</v>
      </c>
      <c r="J5" s="7">
        <v>0.9</v>
      </c>
      <c r="K5" s="7">
        <v>0.9</v>
      </c>
      <c r="L5" s="7">
        <v>0.6</v>
      </c>
      <c r="M5" s="11">
        <f t="shared" ref="M5:M14" si="0">IF(COUNT(F5:L5)&lt;7,"",ROUND(F5*G5*H5/I5*(0.5+0.5*AVERAGE(J5:K5))*(1-0.5*L5),2))</f>
        <v>2.84</v>
      </c>
      <c r="N5" s="11">
        <f t="shared" ref="N5:N14" si="1">IF(M5="","",RANK(M5,$M$5:$M$14))</f>
        <v>4</v>
      </c>
      <c r="O5" s="12" t="str">
        <f>IF(B5="","",IF(OR(D5="",E5=""),"Thiếu",IF(SUMPRODUCT(--ISNUMBER(SEARCH({"0","1","2","3","4","5","6","7","8","9"},E5)))&gt;0,"Có","Thiếu")))</f>
        <v>Có</v>
      </c>
      <c r="P5" s="13" t="s">
        <v>193</v>
      </c>
      <c r="Q5" s="31" t="s">
        <v>194</v>
      </c>
    </row>
    <row r="6" spans="1:17" ht="57.6" x14ac:dyDescent="0.3">
      <c r="A6" s="10">
        <v>2</v>
      </c>
      <c r="B6" s="7" t="s">
        <v>195</v>
      </c>
      <c r="C6" s="7" t="s">
        <v>196</v>
      </c>
      <c r="D6" s="7" t="s">
        <v>197</v>
      </c>
      <c r="E6" s="7" t="s">
        <v>198</v>
      </c>
      <c r="F6" s="7">
        <v>5</v>
      </c>
      <c r="G6" s="7">
        <v>5</v>
      </c>
      <c r="H6" s="7">
        <v>0.8</v>
      </c>
      <c r="I6" s="7">
        <v>2</v>
      </c>
      <c r="J6" s="7">
        <v>0.9</v>
      </c>
      <c r="K6" s="7">
        <v>0.9</v>
      </c>
      <c r="L6" s="7">
        <v>0.2</v>
      </c>
      <c r="M6" s="11">
        <f t="shared" si="0"/>
        <v>8.5500000000000007</v>
      </c>
      <c r="N6" s="11">
        <f t="shared" si="1"/>
        <v>2</v>
      </c>
      <c r="O6" s="12" t="str">
        <f>IF(B6="","",IF(OR(D6="",E6=""),"Thiếu",IF(SUMPRODUCT(--ISNUMBER(SEARCH({"0","1","2","3","4","5","6","7","8","9"},E6)))&gt;0,"Có","Thiếu")))</f>
        <v>Có</v>
      </c>
      <c r="P6" s="13" t="s">
        <v>193</v>
      </c>
      <c r="Q6" s="31" t="s">
        <v>199</v>
      </c>
    </row>
    <row r="7" spans="1:17" ht="57.6" x14ac:dyDescent="0.3">
      <c r="A7" s="10">
        <v>3</v>
      </c>
      <c r="B7" s="7" t="s">
        <v>200</v>
      </c>
      <c r="C7" s="7" t="s">
        <v>201</v>
      </c>
      <c r="D7" s="7" t="s">
        <v>202</v>
      </c>
      <c r="E7" s="7" t="s">
        <v>203</v>
      </c>
      <c r="F7" s="7">
        <v>5</v>
      </c>
      <c r="G7" s="7">
        <v>4</v>
      </c>
      <c r="H7" s="7">
        <v>1</v>
      </c>
      <c r="I7" s="7">
        <v>1</v>
      </c>
      <c r="J7" s="7">
        <v>1</v>
      </c>
      <c r="K7" s="7">
        <v>0.9</v>
      </c>
      <c r="L7" s="7">
        <v>1</v>
      </c>
      <c r="M7" s="11">
        <f t="shared" si="0"/>
        <v>9.75</v>
      </c>
      <c r="N7" s="11">
        <f t="shared" si="1"/>
        <v>1</v>
      </c>
      <c r="O7" s="12" t="str">
        <f>IF(B7="","",IF(OR(D7="",E7=""),"Thiếu",IF(SUMPRODUCT(--ISNUMBER(SEARCH({"0","1","2","3","4","5","6","7","8","9"},E7)))&gt;0,"Có","Thiếu")))</f>
        <v>Có</v>
      </c>
      <c r="P7" s="13" t="s">
        <v>204</v>
      </c>
      <c r="Q7" s="31" t="s">
        <v>205</v>
      </c>
    </row>
    <row r="8" spans="1:17" ht="57.6" x14ac:dyDescent="0.3">
      <c r="A8" s="10">
        <v>4</v>
      </c>
      <c r="B8" s="7" t="s">
        <v>206</v>
      </c>
      <c r="C8" s="7" t="s">
        <v>207</v>
      </c>
      <c r="D8" s="7" t="s">
        <v>208</v>
      </c>
      <c r="E8" s="7" t="s">
        <v>209</v>
      </c>
      <c r="F8" s="7">
        <v>5</v>
      </c>
      <c r="G8" s="7">
        <v>5</v>
      </c>
      <c r="H8" s="7">
        <v>0.8</v>
      </c>
      <c r="I8" s="7">
        <v>2</v>
      </c>
      <c r="J8" s="7">
        <v>0.9</v>
      </c>
      <c r="K8" s="7">
        <v>0.8</v>
      </c>
      <c r="L8" s="7">
        <v>0.4</v>
      </c>
      <c r="M8" s="11">
        <f t="shared" si="0"/>
        <v>7.4</v>
      </c>
      <c r="N8" s="11">
        <f t="shared" si="1"/>
        <v>3</v>
      </c>
      <c r="O8" s="12" t="str">
        <f>IF(B8="","",IF(OR(D8="",E8=""),"Thiếu",IF(SUMPRODUCT(--ISNUMBER(SEARCH({"0","1","2","3","4","5","6","7","8","9"},E8)))&gt;0,"Có","Thiếu")))</f>
        <v>Có</v>
      </c>
      <c r="P8" s="13" t="s">
        <v>204</v>
      </c>
      <c r="Q8" s="31" t="s">
        <v>210</v>
      </c>
    </row>
    <row r="9" spans="1:17" ht="72" x14ac:dyDescent="0.3">
      <c r="A9" s="10">
        <v>5</v>
      </c>
      <c r="B9" s="7" t="s">
        <v>211</v>
      </c>
      <c r="C9" s="7" t="s">
        <v>212</v>
      </c>
      <c r="D9" s="7" t="s">
        <v>213</v>
      </c>
      <c r="E9" s="7" t="s">
        <v>214</v>
      </c>
      <c r="F9" s="7">
        <v>3</v>
      </c>
      <c r="G9" s="7">
        <v>4</v>
      </c>
      <c r="H9" s="7">
        <v>0.5</v>
      </c>
      <c r="I9" s="7">
        <v>4</v>
      </c>
      <c r="J9" s="7">
        <v>0</v>
      </c>
      <c r="K9" s="7">
        <v>0.1</v>
      </c>
      <c r="L9" s="7">
        <v>0.4</v>
      </c>
      <c r="M9" s="11">
        <f t="shared" si="0"/>
        <v>0.63</v>
      </c>
      <c r="N9" s="11">
        <f t="shared" si="1"/>
        <v>5</v>
      </c>
      <c r="O9" s="12" t="str">
        <f>IF(B9="","",IF(OR(D9="",E9=""),"Thiếu",IF(SUMPRODUCT(--ISNUMBER(SEARCH({"0","1","2","3","4","5","6","7","8","9"},E9)))&gt;0,"Có","Thiếu")))</f>
        <v>Có</v>
      </c>
      <c r="P9" s="13" t="s">
        <v>215</v>
      </c>
      <c r="Q9" s="31" t="s">
        <v>216</v>
      </c>
    </row>
    <row r="10" spans="1:17" ht="72" x14ac:dyDescent="0.3">
      <c r="A10" s="10">
        <v>6</v>
      </c>
      <c r="B10" s="7" t="s">
        <v>217</v>
      </c>
      <c r="C10" s="7" t="s">
        <v>218</v>
      </c>
      <c r="D10" s="7" t="s">
        <v>219</v>
      </c>
      <c r="E10" s="7" t="s">
        <v>220</v>
      </c>
      <c r="F10" s="7">
        <v>3</v>
      </c>
      <c r="G10" s="7">
        <v>2</v>
      </c>
      <c r="H10" s="7">
        <v>0.5</v>
      </c>
      <c r="I10" s="7">
        <v>3</v>
      </c>
      <c r="J10" s="7">
        <v>0.4</v>
      </c>
      <c r="K10" s="7">
        <v>0.2</v>
      </c>
      <c r="L10" s="7">
        <v>0.95</v>
      </c>
      <c r="M10" s="11">
        <f t="shared" si="0"/>
        <v>0.34</v>
      </c>
      <c r="N10" s="11">
        <f t="shared" si="1"/>
        <v>6</v>
      </c>
      <c r="O10" s="12" t="str">
        <f>IF(B10="","",IF(OR(D10="",E10=""),"Thiếu",IF(SUMPRODUCT(--ISNUMBER(SEARCH({"0","1","2","3","4","5","6","7","8","9"},E10)))&gt;0,"Có","Thiếu")))</f>
        <v>Có</v>
      </c>
      <c r="P10" s="13" t="s">
        <v>221</v>
      </c>
      <c r="Q10" s="31" t="s">
        <v>222</v>
      </c>
    </row>
    <row r="11" spans="1:17" ht="15" customHeight="1" x14ac:dyDescent="0.3">
      <c r="A11" s="10">
        <v>7</v>
      </c>
      <c r="B11" s="7"/>
      <c r="C11" s="7"/>
      <c r="D11" s="7"/>
      <c r="E11" s="7"/>
      <c r="F11" s="7"/>
      <c r="G11" s="7"/>
      <c r="H11" s="7"/>
      <c r="I11" s="7"/>
      <c r="J11" s="7"/>
      <c r="K11" s="7"/>
      <c r="L11" s="7"/>
      <c r="M11" s="11" t="str">
        <f t="shared" si="0"/>
        <v/>
      </c>
      <c r="N11" s="11" t="str">
        <f t="shared" si="1"/>
        <v/>
      </c>
      <c r="O11" s="12" t="str">
        <f>IF(B11="","",IF(OR(D11="",E11=""),"Thiếu",IF(SUMPRODUCT(--ISNUMBER(SEARCH({"0","1","2","3","4","5","6","7","8","9"},E11)))&gt;0,"Có","Thiếu")))</f>
        <v/>
      </c>
      <c r="P11" s="13"/>
      <c r="Q11" s="13"/>
    </row>
    <row r="12" spans="1:17" ht="15" customHeight="1" x14ac:dyDescent="0.3">
      <c r="A12" s="10">
        <v>8</v>
      </c>
      <c r="B12" s="7"/>
      <c r="C12" s="7"/>
      <c r="D12" s="7"/>
      <c r="E12" s="7"/>
      <c r="F12" s="7"/>
      <c r="G12" s="7"/>
      <c r="H12" s="7"/>
      <c r="I12" s="7"/>
      <c r="J12" s="7"/>
      <c r="K12" s="7"/>
      <c r="L12" s="7"/>
      <c r="M12" s="11" t="str">
        <f t="shared" si="0"/>
        <v/>
      </c>
      <c r="N12" s="11" t="str">
        <f t="shared" si="1"/>
        <v/>
      </c>
      <c r="O12" s="12" t="str">
        <f>IF(B12="","",IF(OR(D12="",E12=""),"Thiếu",IF(SUMPRODUCT(--ISNUMBER(SEARCH({"0","1","2","3","4","5","6","7","8","9"},E12)))&gt;0,"Có","Thiếu")))</f>
        <v/>
      </c>
      <c r="P12" s="13"/>
      <c r="Q12" s="13"/>
    </row>
    <row r="13" spans="1:17" ht="15" customHeight="1" x14ac:dyDescent="0.3">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3">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true" formatColumns="false" formatRows="false"/>
  <dataValidations count="4">
    <dataValidation allowBlank="true" error="Nhập số nguyên từ 1 đến 5." errorStyle="stop" errorTitle="Ngoài thang điểm" operator="between" showDropDown="false" showErrorMessage="true" showInputMessage="false" sqref="F5:G14 I5:I14" type="whole">
      <formula1>1</formula1>
      <formula2>5</formula2>
    </dataValidation>
    <dataValidation allowBlank="true" error="Dùng 0,5 (đoán), 0,8 (có dấu hiệu) hoặc 1 (có số liệu)." errorStyle="stop" errorTitle="Mức tự tin" operator="between" showDropDown="false" showErrorMessage="true" showInputMessage="false" sqref="H5:H14" type="decimal">
      <formula1>0.5</formula1>
      <formula2>1</formula2>
    </dataValidation>
    <dataValidation allowBlank="true" error="Nhập số từ 0 đến 1, ví dụ 0,6." errorStyle="stop" errorTitle="Ngoài thang 0–1" operator="between" showDropDown="false" showErrorMessage="true" showInputMessage="false" sqref="J5:L14" type="decimal">
      <formula1>0</formula1>
      <formula2>1</formula2>
    </dataValidation>
    <dataValidation allowBlank="true" errorStyle="stop" operator="between" showDropDown="false" showErrorMessage="false" showInputMessage="false" sqref="P5:P14" type="list">
      <formula1>"Tự làm,Mua,Chờ,Không làm"</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workbookViewId="0"/>
  </sheetViews>
  <sheetFormatPr defaultColWidth="8.6640625" defaultRowHeight="14.4" x14ac:dyDescent="0.3"/>
  <cols>
    <col min="1" max="1" width="6" customWidth="1"/>
    <col min="2" max="2" width="20" customWidth="1"/>
    <col min="3" max="3" width="34" customWidth="1"/>
    <col min="4" max="4" width="30" customWidth="1"/>
    <col min="5" max="5" width="44" customWidth="1"/>
    <col min="6" max="6" width="36" customWidth="1"/>
    <col min="7" max="7" width="22" customWidth="1"/>
    <col min="8" max="8" width="12" customWidth="1"/>
    <col min="9" max="9" width="18" customWidth="1"/>
    <col min="10" max="10" width="14" customWidth="1"/>
    <col min="11" max="11" width="12" customWidth="1"/>
    <col min="12" max="12" width="13" customWidth="1"/>
    <col min="13" max="13" width="11" customWidth="1"/>
  </cols>
  <sheetData>
    <row r="1" spans="1:13" ht="17.25" customHeight="1" x14ac:dyDescent="0.3">
      <c r="A1" s="1" t="s">
        <v>57</v>
      </c>
    </row>
    <row r="2" spans="1:13" ht="15" customHeight="1" x14ac:dyDescent="0.3">
      <c r="A2" s="2" t="s">
        <v>58</v>
      </c>
    </row>
    <row r="4" spans="1:13" ht="64.95" customHeight="1" x14ac:dyDescent="0.3">
      <c r="A4" s="9" t="s">
        <v>59</v>
      </c>
      <c r="B4" s="9" t="s">
        <v>60</v>
      </c>
      <c r="C4" s="9" t="s">
        <v>61</v>
      </c>
      <c r="D4" s="9" t="s">
        <v>62</v>
      </c>
      <c r="E4" s="9" t="s">
        <v>63</v>
      </c>
      <c r="F4" s="9" t="s">
        <v>64</v>
      </c>
      <c r="G4" s="9" t="s">
        <v>65</v>
      </c>
      <c r="H4" s="9" t="s">
        <v>66</v>
      </c>
      <c r="I4" s="9" t="s">
        <v>67</v>
      </c>
      <c r="J4" s="9" t="s">
        <v>68</v>
      </c>
      <c r="K4" s="9" t="s">
        <v>69</v>
      </c>
      <c r="L4" s="9" t="s">
        <v>70</v>
      </c>
      <c r="M4" s="9" t="s">
        <v>71</v>
      </c>
    </row>
    <row r="5" spans="1:13" ht="28.8" x14ac:dyDescent="0.3">
      <c r="A5" s="10">
        <v>0</v>
      </c>
      <c r="B5" s="7" t="s">
        <v>72</v>
      </c>
      <c r="C5" s="7" t="s">
        <v>223</v>
      </c>
      <c r="D5" s="7" t="s">
        <v>224</v>
      </c>
      <c r="E5" s="7" t="s">
        <v>225</v>
      </c>
      <c r="F5" s="7" t="s">
        <v>226</v>
      </c>
      <c r="G5" s="7" t="s">
        <v>227</v>
      </c>
      <c r="H5" s="14">
        <v>1</v>
      </c>
      <c r="I5" s="13" t="s">
        <v>228</v>
      </c>
      <c r="J5" s="15">
        <f>IF(H5="","",$B$12+$B$13+IF(I5="Người của mình",H5*$B$14*$B$15/60,0))</f>
        <v>1704</v>
      </c>
      <c r="K5" s="16">
        <f>IF(J5="","",IFERROR(($B$16-$B$17*J5)/$B$16,""))</f>
        <v>0.24457430730478588</v>
      </c>
      <c r="L5" s="17" t="str">
        <f>IF(K5="","",IF(K5&gt;=0.6,"Đạt","Dưới ngưỡng"))</f>
        <v>Dưới ngưỡng</v>
      </c>
    </row>
    <row r="6" spans="1:13" ht="72" x14ac:dyDescent="0.3">
      <c r="A6" s="10">
        <v>1</v>
      </c>
      <c r="B6" s="7" t="s">
        <v>73</v>
      </c>
      <c r="C6" s="7" t="s">
        <v>229</v>
      </c>
      <c r="D6" s="7" t="s">
        <v>230</v>
      </c>
      <c r="E6" s="7" t="s">
        <v>231</v>
      </c>
      <c r="F6" s="7" t="s">
        <v>232</v>
      </c>
      <c r="G6" s="7" t="s">
        <v>233</v>
      </c>
      <c r="H6" s="14">
        <v>0.2</v>
      </c>
      <c r="I6" s="13" t="s">
        <v>228</v>
      </c>
      <c r="J6" s="15">
        <f>IF(H6="","",$B$12+$B$13+IF(I6="Người của mình",H6*$B$14*$B$15/60,0))</f>
        <v>704</v>
      </c>
      <c r="K6" s="16">
        <f>IF(J6="","",IFERROR(($B$16-$B$17*J6)/$B$16,""))</f>
        <v>0.68789924433249372</v>
      </c>
      <c r="L6" s="17" t="str">
        <f>IF(K6="","",IF(K6&gt;=0.6,"Đạt","Dưới ngưỡng"))</f>
        <v>Đạt</v>
      </c>
      <c r="M6" s="17" t="str">
        <f>IF(E6="","",IF(SUMPRODUCT(--ISNUMBER(SEARCH({"0","1","2","3","4","5","6","7","8","9"},E6)))&gt;0,"Có","Thiếu"))</f>
        <v>Có</v>
      </c>
    </row>
    <row r="7" spans="1:13" ht="72" x14ac:dyDescent="0.3">
      <c r="A7" s="10">
        <v>2</v>
      </c>
      <c r="B7" s="7" t="s">
        <v>74</v>
      </c>
      <c r="C7" s="7" t="s">
        <v>234</v>
      </c>
      <c r="D7" s="7" t="s">
        <v>235</v>
      </c>
      <c r="E7" s="7" t="s">
        <v>236</v>
      </c>
      <c r="F7" s="7" t="s">
        <v>237</v>
      </c>
      <c r="G7" s="7" t="s">
        <v>238</v>
      </c>
      <c r="H7" s="14">
        <v>0.1</v>
      </c>
      <c r="I7" s="13" t="s">
        <v>228</v>
      </c>
      <c r="J7" s="15">
        <f>IF(H7="","",$B$12+$B$13+IF(I7="Người của mình",H7*$B$14*$B$15/60,0))</f>
        <v>579</v>
      </c>
      <c r="K7" s="16">
        <f>IF(J7="","",IFERROR(($B$16-$B$17*J7)/$B$16,""))</f>
        <v>0.74331486146095715</v>
      </c>
      <c r="L7" s="17" t="str">
        <f>IF(K7="","",IF(K7&gt;=0.6,"Đạt","Dưới ngưỡng"))</f>
        <v>Đạt</v>
      </c>
      <c r="M7" s="17" t="str">
        <f>IF(E7="","",IF(SUMPRODUCT(--ISNUMBER(SEARCH({"0","1","2","3","4","5","6","7","8","9"},E7)))&gt;0,"Có","Thiếu"))</f>
        <v>Có</v>
      </c>
    </row>
    <row r="8" spans="1:13" ht="72" x14ac:dyDescent="0.3">
      <c r="A8" s="10">
        <v>3</v>
      </c>
      <c r="B8" s="7" t="s">
        <v>75</v>
      </c>
      <c r="C8" s="7" t="s">
        <v>239</v>
      </c>
      <c r="D8" s="7" t="s">
        <v>240</v>
      </c>
      <c r="E8" s="7" t="s">
        <v>241</v>
      </c>
      <c r="F8" s="7" t="s">
        <v>242</v>
      </c>
      <c r="G8" s="7" t="s">
        <v>243</v>
      </c>
      <c r="H8" s="14">
        <v>0.05</v>
      </c>
      <c r="I8" s="13" t="s">
        <v>228</v>
      </c>
      <c r="J8" s="15">
        <f>IF(H8="","",$B$12+$B$13+IF(I8="Người của mình",H8*$B$14*$B$15/60,0))</f>
        <v>516.5</v>
      </c>
      <c r="K8" s="16">
        <f>IF(J8="","",IFERROR(($B$16-$B$17*J8)/$B$16,""))</f>
        <v>0.77102267002518887</v>
      </c>
      <c r="L8" s="17" t="str">
        <f>IF(K8="","",IF(K8&gt;=0.6,"Đạt","Dưới ngưỡng"))</f>
        <v>Đạt</v>
      </c>
      <c r="M8" s="17" t="str">
        <f>IF(E8="","",IF(SUMPRODUCT(--ISNUMBER(SEARCH({"0","1","2","3","4","5","6","7","8","9"},E8)))&gt;0,"Có","Thiếu"))</f>
        <v>Có</v>
      </c>
    </row>
    <row r="11" spans="1:13" ht="15" customHeight="1" x14ac:dyDescent="0.3">
      <c r="A11" s="8" t="s">
        <v>76</v>
      </c>
    </row>
    <row r="12" spans="1:13" ht="15" customHeight="1" x14ac:dyDescent="0.3">
      <c r="A12" s="18" t="s">
        <v>77</v>
      </c>
      <c r="B12" s="19">
        <v>254</v>
      </c>
      <c r="C12" s="20" t="s">
        <v>78</v>
      </c>
    </row>
    <row r="13" spans="1:13" ht="15" customHeight="1" x14ac:dyDescent="0.3">
      <c r="A13" s="18" t="s">
        <v>79</v>
      </c>
      <c r="B13" s="19">
        <v>200</v>
      </c>
      <c r="C13" s="20" t="s">
        <v>80</v>
      </c>
    </row>
    <row r="14" spans="1:13" ht="15" customHeight="1" x14ac:dyDescent="0.3">
      <c r="A14" s="18" t="s">
        <v>81</v>
      </c>
      <c r="B14" s="21">
        <v>1.5</v>
      </c>
      <c r="C14" s="20" t="s">
        <v>82</v>
      </c>
    </row>
    <row r="15" spans="1:13" ht="15" customHeight="1" x14ac:dyDescent="0.3">
      <c r="A15" s="18" t="s">
        <v>83</v>
      </c>
      <c r="B15" s="19">
        <v>50000</v>
      </c>
      <c r="C15" s="20" t="s">
        <v>84</v>
      </c>
    </row>
    <row r="16" spans="1:13" ht="15" customHeight="1" x14ac:dyDescent="0.3">
      <c r="A16" s="18" t="s">
        <v>85</v>
      </c>
      <c r="B16" s="19">
        <v>3970000</v>
      </c>
      <c r="C16" s="20" t="s">
        <v>86</v>
      </c>
    </row>
    <row r="17" spans="1:3" ht="15" customHeight="1" x14ac:dyDescent="0.3">
      <c r="A17" s="18" t="s">
        <v>87</v>
      </c>
      <c r="B17" s="19">
        <v>1760</v>
      </c>
      <c r="C17" s="20" t="s">
        <v>88</v>
      </c>
    </row>
    <row r="18" spans="1:3" x14ac:dyDescent="0.3">
      <c r="A18" s="18" t="s">
        <v>89</v>
      </c>
      <c r="B18" s="13" t="s">
        <v>90</v>
      </c>
      <c r="C18" s="20" t="s">
        <v>91</v>
      </c>
    </row>
    <row r="19" spans="1:3" x14ac:dyDescent="0.3">
      <c r="A19" s="18" t="s">
        <v>92</v>
      </c>
      <c r="B19" s="13" t="s">
        <v>93</v>
      </c>
      <c r="C19" s="20" t="s">
        <v>94</v>
      </c>
    </row>
    <row r="20" spans="1:3" ht="15" customHeight="1" x14ac:dyDescent="0.3">
      <c r="A20" s="18" t="s">
        <v>95</v>
      </c>
      <c r="B20" s="22">
        <v>7</v>
      </c>
      <c r="C20" s="20" t="s">
        <v>96</v>
      </c>
    </row>
    <row r="22" spans="1:3" ht="15" customHeight="1" x14ac:dyDescent="0.3">
      <c r="A22" s="20" t="s">
        <v>97</v>
      </c>
    </row>
    <row r="23" spans="1:3" ht="15" customHeight="1" x14ac:dyDescent="0.3">
      <c r="A23" s="20"/>
    </row>
  </sheetData>
  <sheetProtection sheet="true" formatColumns="false" formatRows="false"/>
  <dataValidations count="2">
    <dataValidation allowBlank="true" errorStyle="stop" operator="between" showDropDown="false" showErrorMessage="false" showInputMessage="false" sqref="I5:I8" type="list">
      <formula1>"Người của mình,Nhân viên cửa hàng"</formula1>
      <formula2>0</formula2>
    </dataValidation>
    <dataValidation allowBlank="true" errorStyle="stop" operator="between" showDropDown="false" showErrorMessage="false" showInputMessage="false" sqref="H5:H8" type="decimal">
      <formula1>0</formula1>
      <formula2>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sheetViews>
  <sheetFormatPr defaultColWidth="8.6640625" defaultRowHeight="14.4" x14ac:dyDescent="0.3"/>
  <cols>
    <col min="1" max="1" width="30" customWidth="1"/>
    <col min="2" max="4" width="42" customWidth="1"/>
  </cols>
  <sheetData>
    <row r="1" spans="1:4" ht="17.25" customHeight="1" x14ac:dyDescent="0.3">
      <c r="A1" s="1" t="s">
        <v>98</v>
      </c>
    </row>
    <row r="2" spans="1:4" ht="15" customHeight="1" x14ac:dyDescent="0.3">
      <c r="A2" s="2" t="s">
        <v>99</v>
      </c>
    </row>
    <row r="4" spans="1:4" ht="15" customHeight="1" x14ac:dyDescent="0.3">
      <c r="A4" s="9" t="s">
        <v>100</v>
      </c>
      <c r="B4" s="9" t="s">
        <v>101</v>
      </c>
      <c r="C4" s="9" t="s">
        <v>102</v>
      </c>
      <c r="D4" s="9" t="s">
        <v>103</v>
      </c>
    </row>
    <row r="5" spans="1:4" ht="43.2" x14ac:dyDescent="0.3">
      <c r="A5" s="23" t="s">
        <v>104</v>
      </c>
      <c r="B5" s="7" t="s">
        <v>244</v>
      </c>
      <c r="C5" s="7" t="s">
        <v>245</v>
      </c>
      <c r="D5" s="7" t="s">
        <v>246</v>
      </c>
    </row>
    <row r="6" spans="1:4" ht="43.2" x14ac:dyDescent="0.3">
      <c r="A6" s="23" t="s">
        <v>105</v>
      </c>
      <c r="B6" s="7" t="s">
        <v>247</v>
      </c>
      <c r="C6" s="7" t="s">
        <v>248</v>
      </c>
      <c r="D6" s="7" t="s">
        <v>249</v>
      </c>
    </row>
    <row r="7" spans="1:4" ht="43.2" x14ac:dyDescent="0.3">
      <c r="A7" s="23" t="s">
        <v>44</v>
      </c>
      <c r="B7" s="7" t="s">
        <v>250</v>
      </c>
      <c r="C7" s="7" t="s">
        <v>251</v>
      </c>
      <c r="D7" s="7" t="s">
        <v>252</v>
      </c>
    </row>
    <row r="8" spans="1:4" ht="28.8" x14ac:dyDescent="0.3">
      <c r="A8" s="23" t="s">
        <v>106</v>
      </c>
      <c r="B8" s="7" t="s">
        <v>253</v>
      </c>
      <c r="C8" s="7" t="s">
        <v>254</v>
      </c>
      <c r="D8" s="7" t="s">
        <v>255</v>
      </c>
    </row>
    <row r="9" spans="1:4" ht="57.6" x14ac:dyDescent="0.3">
      <c r="A9" s="23" t="s">
        <v>107</v>
      </c>
      <c r="B9" s="7" t="s">
        <v>256</v>
      </c>
      <c r="C9" s="7" t="s">
        <v>257</v>
      </c>
      <c r="D9" s="7" t="s">
        <v>258</v>
      </c>
    </row>
    <row r="10" spans="1:4" ht="72" x14ac:dyDescent="0.3">
      <c r="A10" s="23" t="s">
        <v>108</v>
      </c>
      <c r="B10" s="7" t="s">
        <v>259</v>
      </c>
      <c r="C10" s="7" t="s">
        <v>260</v>
      </c>
      <c r="D10" s="7" t="s">
        <v>261</v>
      </c>
    </row>
    <row r="11" spans="1:4" ht="72" x14ac:dyDescent="0.3">
      <c r="A11" s="23" t="s">
        <v>109</v>
      </c>
      <c r="B11" s="7" t="s">
        <v>262</v>
      </c>
      <c r="C11" s="7" t="s">
        <v>263</v>
      </c>
      <c r="D11" s="7" t="s">
        <v>264</v>
      </c>
    </row>
    <row r="12" spans="1:4" ht="86.4" x14ac:dyDescent="0.3">
      <c r="A12" s="23" t="s">
        <v>110</v>
      </c>
      <c r="B12" s="7" t="s">
        <v>265</v>
      </c>
      <c r="C12" s="7" t="s">
        <v>266</v>
      </c>
      <c r="D12" s="7" t="s">
        <v>267</v>
      </c>
    </row>
  </sheetData>
  <sheetProtection sheet="true" formatColumns="false" formatRows="fals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sheetViews>
  <sheetFormatPr defaultColWidth="8.6640625" defaultRowHeight="14.4" x14ac:dyDescent="0.3"/>
  <cols>
    <col min="1" max="1" width="34" customWidth="1"/>
    <col min="2" max="3" width="40" customWidth="1"/>
    <col min="4" max="4" width="28" customWidth="1"/>
  </cols>
  <sheetData>
    <row r="1" spans="1:4" ht="17.25" customHeight="1" x14ac:dyDescent="0.3">
      <c r="A1" s="1" t="s">
        <v>111</v>
      </c>
    </row>
    <row r="2" spans="1:4" ht="15" customHeight="1" x14ac:dyDescent="0.3">
      <c r="A2" s="2" t="s">
        <v>112</v>
      </c>
    </row>
    <row r="4" spans="1:4" ht="15" customHeight="1" x14ac:dyDescent="0.3">
      <c r="A4" s="9" t="s">
        <v>113</v>
      </c>
      <c r="B4" s="9" t="s">
        <v>114</v>
      </c>
      <c r="C4" s="9" t="s">
        <v>115</v>
      </c>
      <c r="D4" s="9" t="s">
        <v>116</v>
      </c>
    </row>
    <row r="5" spans="1:4" ht="57.6" x14ac:dyDescent="0.3">
      <c r="A5" s="7" t="s">
        <v>117</v>
      </c>
      <c r="B5" s="7" t="s">
        <v>268</v>
      </c>
      <c r="C5" s="7" t="s">
        <v>269</v>
      </c>
      <c r="D5" s="7" t="s">
        <v>270</v>
      </c>
    </row>
    <row r="6" spans="1:4" ht="57.6" x14ac:dyDescent="0.3">
      <c r="A6" s="7" t="s">
        <v>118</v>
      </c>
      <c r="B6" s="7" t="s">
        <v>271</v>
      </c>
      <c r="C6" s="7" t="s">
        <v>272</v>
      </c>
      <c r="D6" s="7" t="s">
        <v>273</v>
      </c>
    </row>
    <row r="7" spans="1:4" ht="57.6" x14ac:dyDescent="0.3">
      <c r="A7" s="7" t="s">
        <v>119</v>
      </c>
      <c r="B7" s="7" t="s">
        <v>274</v>
      </c>
      <c r="C7" s="7" t="s">
        <v>275</v>
      </c>
      <c r="D7" s="7" t="s">
        <v>276</v>
      </c>
    </row>
    <row r="8" spans="1:4" ht="43.2" x14ac:dyDescent="0.3">
      <c r="A8" s="7" t="s">
        <v>120</v>
      </c>
      <c r="B8" s="7" t="s">
        <v>277</v>
      </c>
      <c r="C8" s="7" t="s">
        <v>278</v>
      </c>
      <c r="D8" s="7" t="s">
        <v>279</v>
      </c>
    </row>
    <row r="9" spans="1:4" ht="43.2" x14ac:dyDescent="0.3">
      <c r="A9" s="7" t="s">
        <v>121</v>
      </c>
      <c r="B9" s="7" t="s">
        <v>280</v>
      </c>
      <c r="C9" s="7" t="s">
        <v>281</v>
      </c>
      <c r="D9" s="7" t="s">
        <v>282</v>
      </c>
    </row>
    <row r="10" spans="1:4" ht="57.6" x14ac:dyDescent="0.3">
      <c r="A10" s="7" t="s">
        <v>122</v>
      </c>
      <c r="B10" s="7" t="s">
        <v>283</v>
      </c>
      <c r="C10" s="7" t="s">
        <v>284</v>
      </c>
      <c r="D10" s="7" t="s">
        <v>285</v>
      </c>
    </row>
    <row r="12" spans="1:4" ht="15" customHeight="1" x14ac:dyDescent="0.3">
      <c r="A12" s="20" t="s">
        <v>123</v>
      </c>
    </row>
  </sheetData>
  <sheetProtection sheet="true" formatColumns="false" formatRows="fals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workbookViewId="0"/>
  </sheetViews>
  <sheetFormatPr defaultColWidth="8.6640625" defaultRowHeight="14.4" x14ac:dyDescent="0.3"/>
  <cols>
    <col min="1" max="1" width="32" customWidth="1"/>
    <col min="2" max="2" width="90" customWidth="1"/>
    <col min="3" max="3" width="8" customWidth="1"/>
    <col min="4" max="4" width="12" customWidth="1"/>
  </cols>
  <sheetData>
    <row r="1" spans="1:4" ht="17.25" customHeight="1" x14ac:dyDescent="0.3">
      <c r="A1" s="1" t="s">
        <v>124</v>
      </c>
    </row>
    <row r="2" spans="1:4" ht="15" customHeight="1" x14ac:dyDescent="0.3">
      <c r="A2" s="2" t="s">
        <v>125</v>
      </c>
    </row>
    <row r="3" spans="1:4" ht="15" customHeight="1" x14ac:dyDescent="0.3">
      <c r="C3" s="24" t="s">
        <v>126</v>
      </c>
      <c r="D3" s="24" t="s">
        <v>127</v>
      </c>
    </row>
    <row r="4" spans="1:4" ht="28.8" x14ac:dyDescent="0.3">
      <c r="A4" s="24" t="s">
        <v>128</v>
      </c>
      <c r="B4" s="7" t="s">
        <v>286</v>
      </c>
      <c r="C4" s="25">
        <f>IF(TRIM(B4)="",0,LEN(TRIM(B4))-LEN(SUBSTITUTE(TRIM(B4)," ",""))+1)</f>
        <v>34</v>
      </c>
      <c r="D4" s="17" t="str">
        <f>IF(C4=0,"Trống",IF(C4&gt;60,"Quá 60 chữ","Đạt"))</f>
        <v>Đạt</v>
      </c>
    </row>
    <row r="5" spans="1:4" ht="28.8" x14ac:dyDescent="0.3">
      <c r="A5" s="24" t="s">
        <v>129</v>
      </c>
      <c r="B5" s="7" t="s">
        <v>287</v>
      </c>
      <c r="C5" s="25">
        <f>IF(TRIM(B5)="",0,LEN(TRIM(B5))-LEN(SUBSTITUTE(TRIM(B5)," ",""))+1)</f>
        <v>35</v>
      </c>
      <c r="D5" s="17" t="str">
        <f>IF(C5=0,"Trống",IF(C5&gt;60,"Quá 60 chữ","Đạt"))</f>
        <v>Đạt</v>
      </c>
    </row>
    <row r="6" spans="1:4" ht="43.2" x14ac:dyDescent="0.3">
      <c r="A6" s="24" t="s">
        <v>130</v>
      </c>
      <c r="B6" s="7" t="s">
        <v>288</v>
      </c>
      <c r="C6" s="25">
        <f>IF(TRIM(B6)="",0,LEN(TRIM(B6))-LEN(SUBSTITUTE(TRIM(B6)," ",""))+1)</f>
        <v>48</v>
      </c>
      <c r="D6" s="17" t="str">
        <f>IF(C6=0,"Trống",IF(C6&gt;60,"Quá 60 chữ","Đạt"))</f>
        <v>Đạt</v>
      </c>
    </row>
    <row r="7" spans="1:4" ht="43.2" x14ac:dyDescent="0.3">
      <c r="A7" s="24" t="s">
        <v>131</v>
      </c>
      <c r="B7" s="7" t="s">
        <v>289</v>
      </c>
      <c r="C7" s="25">
        <f>IF(TRIM(B7)="",0,LEN(TRIM(B7))-LEN(SUBSTITUTE(TRIM(B7)," ",""))+1)</f>
        <v>50</v>
      </c>
      <c r="D7" s="17" t="str">
        <f>IF(C7=0,"Trống",IF(C7&gt;60,"Quá 60 chữ","Đạt"))</f>
        <v>Đạt</v>
      </c>
    </row>
    <row r="8" spans="1:4" ht="43.2" x14ac:dyDescent="0.3">
      <c r="A8" s="24" t="s">
        <v>132</v>
      </c>
      <c r="B8" s="7" t="s">
        <v>290</v>
      </c>
      <c r="C8" s="25">
        <f>IF(TRIM(B8)="",0,LEN(TRIM(B8))-LEN(SUBSTITUTE(TRIM(B8)," ",""))+1)</f>
        <v>51</v>
      </c>
      <c r="D8" s="17" t="str">
        <f>IF(C8=0,"Trống",IF(C8&gt;60,"Quá 60 chữ","Đạt"))</f>
        <v>Đạt</v>
      </c>
    </row>
  </sheetData>
  <sheetProtection sheet="true" formatColumns="false" formatRows="fals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workbookViewId="0"/>
  </sheetViews>
  <sheetFormatPr defaultColWidth="8.6640625" defaultRowHeight="14.4" x14ac:dyDescent="0.3"/>
  <cols>
    <col min="1" max="1" width="66" customWidth="1"/>
    <col min="2" max="3" width="14" customWidth="1"/>
  </cols>
  <sheetData>
    <row r="1" spans="1:3" ht="17.25" customHeight="1" x14ac:dyDescent="0.3">
      <c r="A1" s="1" t="s">
        <v>133</v>
      </c>
    </row>
    <row r="2" spans="1:3" ht="15" customHeight="1" x14ac:dyDescent="0.3">
      <c r="A2" s="2" t="s">
        <v>134</v>
      </c>
    </row>
    <row r="4" spans="1:3" ht="15" customHeight="1" x14ac:dyDescent="0.3">
      <c r="A4" s="9" t="s">
        <v>135</v>
      </c>
      <c r="B4" s="9" t="s">
        <v>136</v>
      </c>
      <c r="C4" s="9" t="s">
        <v>127</v>
      </c>
    </row>
    <row r="5" spans="1:3" x14ac:dyDescent="0.3">
      <c r="A5" s="10" t="s">
        <v>137</v>
      </c>
      <c r="B5" s="11">
        <f>COUNT('1_Danh sách việc'!M5:M14)</f>
        <v>6</v>
      </c>
      <c r="C5" s="11" t="str">
        <f>IF(B5&gt;=5,"Đạt","Xem lại")</f>
        <v>Đạt</v>
      </c>
    </row>
    <row r="6" spans="1:3" x14ac:dyDescent="0.3">
      <c r="A6" s="10" t="s">
        <v>138</v>
      </c>
      <c r="B6" s="11">
        <f>COUNTIFS('1_Danh sách việc'!O5:O14,"Thiếu",'1_Danh sách việc'!P5:P14,"&lt;&gt;Không làm")</f>
        <v>0</v>
      </c>
      <c r="C6" s="11" t="str">
        <f>IF(B5=0,"",IF(B6=0,"Đạt","Xem lại"))</f>
        <v>Đạt</v>
      </c>
    </row>
    <row r="7" spans="1:3" x14ac:dyDescent="0.3">
      <c r="A7" s="10" t="s">
        <v>139</v>
      </c>
      <c r="B7" s="11">
        <f>COUNTIF('2_Mức tự động'!M6:M8,"Có")</f>
        <v>3</v>
      </c>
      <c r="C7" s="11" t="str">
        <f>IF(B7&gt;=2,"Đạt","Xem lại")</f>
        <v>Đạt</v>
      </c>
    </row>
    <row r="8" spans="1:3" x14ac:dyDescent="0.3">
      <c r="A8" s="10" t="s">
        <v>140</v>
      </c>
      <c r="B8" s="11">
        <f>COUNTA('3_Bảng lộ trình'!B5:B12)</f>
        <v>8</v>
      </c>
      <c r="C8" s="11" t="str">
        <f>IF(B8=8,"Đạt","Xem lại")</f>
        <v>Đạt</v>
      </c>
    </row>
    <row r="9" spans="1:3" x14ac:dyDescent="0.3">
      <c r="A9" s="10" t="s">
        <v>141</v>
      </c>
      <c r="B9" s="11" t="str">
        <f>IF(AND(LEN('3_Bảng lộ trình'!B12)&gt;10,SUMPRODUCT(--ISNUMBER(SEARCH({"0","1","2","3","4","5","6","7","8","9"},'3_Bảng lộ trình'!B12)))&gt;0),"Có","Chưa")</f>
        <v>Có</v>
      </c>
      <c r="C9" s="11" t="str">
        <f>IF(B9="Có","Đạt","Xem lại")</f>
        <v>Đạt</v>
      </c>
    </row>
    <row r="10" spans="1:3" x14ac:dyDescent="0.3">
      <c r="A10" s="10" t="s">
        <v>142</v>
      </c>
      <c r="B10" s="11" t="str">
        <f>IF(AND(LEN('3_Bảng lộ trình'!B11)&gt;10,SUMPRODUCT(--ISNUMBER(SEARCH({"0","1","2","3","4","5","6","7","8","9"},'3_Bảng lộ trình'!B11)))&gt;0),"Có","Chưa")</f>
        <v>Có</v>
      </c>
      <c r="C10" s="11" t="str">
        <f>IF(B10="Có","Đạt","Xem lại")</f>
        <v>Đạt</v>
      </c>
    </row>
    <row r="11" spans="1:3" x14ac:dyDescent="0.3">
      <c r="A11" s="10" t="s">
        <v>143</v>
      </c>
      <c r="B11" s="11">
        <f>COUNTIF('5_Slide lãnh đạo'!D4:D8,"Đạt")</f>
        <v>5</v>
      </c>
      <c r="C11" s="11" t="str">
        <f>IF(B11=5,"Đạt","Xem lại")</f>
        <v>Đạt</v>
      </c>
    </row>
    <row r="12" spans="1:3" x14ac:dyDescent="0.3">
      <c r="A12" s="10" t="s">
        <v>144</v>
      </c>
      <c r="B12" s="11">
        <f>COUNTIF('2_Mức tự động'!L5:L8,"Đạt")</f>
        <v>3</v>
      </c>
      <c r="C12" s="11" t="str">
        <f>IF(B12&gt;=1,"Đạt","Xem lại")</f>
        <v>Đạt</v>
      </c>
    </row>
  </sheetData>
  <sheetProtection sheet="true" formatColumns="false" formatRows="fals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workbookViewId="0"/>
  </sheetViews>
  <sheetFormatPr defaultColWidth="8.6640625" defaultRowHeight="14.4" x14ac:dyDescent="0.3"/>
  <cols>
    <col min="1" max="1" width="32" customWidth="1"/>
    <col min="2" max="2" width="30" customWidth="1"/>
    <col min="3" max="3" width="80" customWidth="1"/>
    <col min="4" max="4" width="40" customWidth="1"/>
  </cols>
  <sheetData>
    <row r="1" spans="1:4" ht="17.25" customHeight="1" x14ac:dyDescent="0.3">
      <c r="A1" s="1" t="s">
        <v>145</v>
      </c>
    </row>
    <row r="2" spans="1:4" ht="15" customHeight="1" x14ac:dyDescent="0.3">
      <c r="A2" s="2"/>
    </row>
    <row r="4" spans="1:4" ht="15" customHeight="1" x14ac:dyDescent="0.3">
      <c r="A4" s="9" t="s">
        <v>146</v>
      </c>
      <c r="B4" s="9" t="s">
        <v>147</v>
      </c>
      <c r="C4" s="9" t="s">
        <v>148</v>
      </c>
      <c r="D4" s="9" t="s">
        <v>149</v>
      </c>
    </row>
    <row r="5" spans="1:4" ht="15" customHeight="1" x14ac:dyDescent="0.3">
      <c r="A5" s="10" t="s">
        <v>150</v>
      </c>
      <c r="B5">
        <v>20</v>
      </c>
      <c r="C5" s="26" t="s">
        <v>151</v>
      </c>
      <c r="D5" s="27"/>
    </row>
    <row r="6" spans="1:4" ht="15" customHeight="1" x14ac:dyDescent="0.3">
      <c r="A6" s="10" t="s">
        <v>152</v>
      </c>
      <c r="B6">
        <v>20</v>
      </c>
      <c r="C6" s="26" t="s">
        <v>153</v>
      </c>
      <c r="D6" s="27"/>
    </row>
    <row r="7" spans="1:4" ht="15" customHeight="1" x14ac:dyDescent="0.3">
      <c r="A7" s="10" t="s">
        <v>154</v>
      </c>
      <c r="B7">
        <v>25</v>
      </c>
      <c r="C7" s="26" t="s">
        <v>155</v>
      </c>
      <c r="D7" s="27"/>
    </row>
    <row r="8" spans="1:4" ht="15" customHeight="1" x14ac:dyDescent="0.3">
      <c r="A8" s="10" t="s">
        <v>156</v>
      </c>
      <c r="B8">
        <v>15</v>
      </c>
      <c r="C8" s="26" t="s">
        <v>157</v>
      </c>
      <c r="D8" s="27"/>
    </row>
    <row r="9" spans="1:4" ht="15" customHeight="1" x14ac:dyDescent="0.3">
      <c r="A9" s="10" t="s">
        <v>158</v>
      </c>
      <c r="B9">
        <v>20</v>
      </c>
      <c r="C9" s="26" t="s">
        <v>159</v>
      </c>
      <c r="D9" s="27"/>
    </row>
    <row r="10" spans="1:4" ht="15" customHeight="1" x14ac:dyDescent="0.3">
      <c r="A10" s="8" t="s">
        <v>160</v>
      </c>
      <c r="B10">
        <f>SUM(B5:B9)</f>
        <v>100</v>
      </c>
      <c r="D10" s="11">
        <f>SUM(D5:D9)</f>
        <v>0</v>
      </c>
    </row>
    <row r="12" spans="1:4" ht="15" customHeight="1" x14ac:dyDescent="0.3">
      <c r="A12" s="8"/>
      <c r="D12" s="27"/>
    </row>
    <row r="15" spans="1:4" ht="15" customHeight="1" x14ac:dyDescent="0.3">
      <c r="A15" s="28" t="s">
        <v>161</v>
      </c>
    </row>
    <row r="16" spans="1:4" ht="15" customHeight="1" x14ac:dyDescent="0.3">
      <c r="A16" s="9" t="s">
        <v>146</v>
      </c>
      <c r="B16" s="9" t="s">
        <v>162</v>
      </c>
      <c r="C16" s="9" t="s">
        <v>163</v>
      </c>
      <c r="D16" s="9" t="s">
        <v>164</v>
      </c>
    </row>
    <row r="17" spans="1:4" ht="45.75" customHeight="1" x14ac:dyDescent="0.3">
      <c r="A17" s="29" t="s">
        <v>165</v>
      </c>
      <c r="B17" s="30" t="s">
        <v>166</v>
      </c>
      <c r="C17" s="30" t="s">
        <v>167</v>
      </c>
      <c r="D17" s="30" t="s">
        <v>168</v>
      </c>
    </row>
    <row r="18" spans="1:4" ht="45.75" customHeight="1" x14ac:dyDescent="0.3">
      <c r="A18" s="29" t="s">
        <v>169</v>
      </c>
      <c r="B18" s="30" t="s">
        <v>170</v>
      </c>
      <c r="C18" s="30" t="s">
        <v>171</v>
      </c>
      <c r="D18" s="30" t="s">
        <v>172</v>
      </c>
    </row>
    <row r="19" spans="1:4" ht="45.75" customHeight="1" x14ac:dyDescent="0.3">
      <c r="A19" s="29" t="s">
        <v>173</v>
      </c>
      <c r="B19" s="30" t="s">
        <v>174</v>
      </c>
      <c r="C19" s="30" t="s">
        <v>175</v>
      </c>
      <c r="D19" s="30" t="s">
        <v>176</v>
      </c>
    </row>
    <row r="20" spans="1:4" ht="45.75" customHeight="1" x14ac:dyDescent="0.3">
      <c r="A20" s="29" t="s">
        <v>177</v>
      </c>
      <c r="B20" s="30" t="s">
        <v>178</v>
      </c>
      <c r="C20" s="30" t="s">
        <v>179</v>
      </c>
      <c r="D20" s="30" t="s">
        <v>180</v>
      </c>
    </row>
    <row r="22" spans="1:4" ht="15" customHeight="1" x14ac:dyDescent="0.3">
      <c r="A22" s="20" t="s">
        <v>181</v>
      </c>
    </row>
  </sheetData>
  <sheetProtection sheet="true" formatColumns="false" formatRows="fals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Duong Thi Hong Vien</cp:lastModifiedBy>
  <dcterms:modified xsi:type="dcterms:W3CDTF">2026-10-16T15:26:09Z</dcterms:modified>
</cp:coreProperties>
</file>