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AIthucchien\track1\day13\Neiv-AI-Roadmap\"/>
    </mc:Choice>
  </mc:AlternateContent>
  <xr:revisionPtr revIDLastSave="0" documentId="13_ncr:1_{161DA9B6-810B-4077-A2B6-8A984CC8F1DB}" xr6:coauthVersionLast="47" xr6:coauthVersionMax="47" xr10:uidLastSave="{00000000-0000-0000-0000-000000000000}"/>
  <bookViews>
    <workbookView xWindow="5136" yWindow="2268" windowWidth="17280" windowHeight="8880" xr2:uid="{00000000-000D-0000-FFFF-FFFF00000000}"/>
  </bookViews>
  <sheets>
    <sheet name="0_Hướng dẫn" sheetId="1" r:id="rId1"/>
    <sheet name="0_Đầu vào" sheetId="2" r:id="rId2"/>
    <sheet name="1_Danh sách việc" sheetId="3" r:id="rId3"/>
    <sheet name="2_Mức tự động" sheetId="4" r:id="rId4"/>
    <sheet name="3_Bảng lộ trình" sheetId="5" r:id="rId5"/>
    <sheet name="4_Rà soát" sheetId="6" r:id="rId6"/>
    <sheet name="5_Slide lãnh đạo" sheetId="7" r:id="rId7"/>
    <sheet name="6_Tự kiểm tra" sheetId="8" r:id="rId8"/>
    <sheet name="7_Thang điểm"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9" l="1"/>
  <c r="B10" i="9"/>
  <c r="B10" i="8"/>
  <c r="C10" i="8" s="1"/>
  <c r="B9" i="8"/>
  <c r="C9" i="8" s="1"/>
  <c r="B8" i="8"/>
  <c r="C8" i="8" s="1"/>
  <c r="C8" i="7"/>
  <c r="D8" i="7" s="1"/>
  <c r="C7" i="7"/>
  <c r="D7" i="7" s="1"/>
  <c r="C6" i="7"/>
  <c r="D6" i="7" s="1"/>
  <c r="C5" i="7"/>
  <c r="D5" i="7" s="1"/>
  <c r="C4" i="7"/>
  <c r="D4" i="7" s="1"/>
  <c r="M8" i="4"/>
  <c r="J8" i="4"/>
  <c r="K8" i="4" s="1"/>
  <c r="L8" i="4" s="1"/>
  <c r="M7" i="4"/>
  <c r="J7" i="4"/>
  <c r="K7" i="4" s="1"/>
  <c r="L7" i="4" s="1"/>
  <c r="M6" i="4"/>
  <c r="J6" i="4"/>
  <c r="K6" i="4" s="1"/>
  <c r="L6" i="4" s="1"/>
  <c r="J5" i="4"/>
  <c r="K5" i="4" s="1"/>
  <c r="L5" i="4" s="1"/>
  <c r="O14" i="3"/>
  <c r="M14" i="3"/>
  <c r="N14" i="3" s="1"/>
  <c r="O13" i="3"/>
  <c r="M13" i="3"/>
  <c r="N13" i="3" s="1"/>
  <c r="O12" i="3"/>
  <c r="M12" i="3"/>
  <c r="N12" i="3" s="1"/>
  <c r="O11" i="3"/>
  <c r="M11" i="3"/>
  <c r="N11" i="3" s="1"/>
  <c r="O10" i="3"/>
  <c r="M10" i="3"/>
  <c r="O9" i="3"/>
  <c r="M9" i="3"/>
  <c r="O8" i="3"/>
  <c r="M8" i="3"/>
  <c r="O7" i="3"/>
  <c r="M7" i="3"/>
  <c r="O6" i="3"/>
  <c r="M6" i="3"/>
  <c r="O5" i="3"/>
  <c r="M5" i="3"/>
  <c r="B12" i="2"/>
  <c r="B7" i="8" l="1"/>
  <c r="C7" i="8" s="1"/>
  <c r="N6" i="3"/>
  <c r="N7" i="3"/>
  <c r="B12" i="8"/>
  <c r="C12" i="8" s="1"/>
  <c r="B6" i="8"/>
  <c r="N9" i="3"/>
  <c r="N10" i="3"/>
  <c r="N8" i="3"/>
  <c r="B11" i="8"/>
  <c r="C11" i="8" s="1"/>
  <c r="B5" i="8"/>
  <c r="C5" i="8" s="1"/>
  <c r="N5" i="3"/>
  <c r="C6" i="8" l="1"/>
</calcChain>
</file>

<file path=xl/sharedStrings.xml><?xml version="1.0" encoding="utf-8"?>
<sst xmlns="http://schemas.openxmlformats.org/spreadsheetml/2006/main" count="304" uniqueCount="291">
  <si>
    <t>CS13 · Lộ trình sản phẩm AI — File thực hành · Đề 1 · SổSạch</t>
  </si>
  <si>
    <t>AI in Action · Track 1 · Khóa 4. FILE LÀM BÀI CỦA NHÓM · Đề 1 · SổSạch. Dữ liệu của đề nằm trong file CS13_HoSoTinhHuong.pdf; file CS13_Roadmap_Mau.xlsx là bản mẫu đã điền (một sản phẩm khác) để xem cách điền.</t>
  </si>
  <si>
    <t>Luật chơi: CHỈ điền vào ô màu VÀNG. Ô màu XANH là công thức và đã được khóa. Bắt đầu bằng trang 0_Đầu vào (Nhiệm vụ 0: đọc hồ sơ tình huống).</t>
  </si>
  <si>
    <t>Thứ tự làm: 0 Đọc hồ sơ → 1 Danh sách việc → 2 Mức tự động → 3 Bảng lộ trình → 4 Rà soát → 6 Tự kiểm tra. Trang 5 (slide lãnh đạo) làm ở nhà.</t>
  </si>
  <si>
    <t>Số liệu kinh tế của đề đã điền sẵn ở trang 2, dòng 12–20. Không cần file của buổi nào khác: mọi dữ liệu cần dùng nằm trong hồ sơ tình huống, Đề 1.</t>
  </si>
  <si>
    <t>Lộ trình theo GIẢ THUYẾT: mỗi hạng mục phải trả lời 'Ta tin rằng làm X sẽ giúp Y đạt Z; biết đúng khi chỉ số W đạt ngưỡng V'.</t>
  </si>
  <si>
    <t>Tên file nộp: [Nhom]_CS13.xlsx · Nộp bản có Nhiệm vụ 1–4 lên VLearn trước 18:00 ngày 16/10. Trang 5 (Nhiệm vụ 5, làm ở nhà) nộp trước 23:59 ngày 19/10.</t>
  </si>
  <si>
    <t>Tuân thủ: Luật Trí tuệ nhân tạo số 134/2025/QH15 (hiệu lực 01/3/2026) chia hệ thống AI thành 3 mức rủi ro và yêu cầu người dùng được thông tin khi tương tác với AI. Đọc văn bản gốc trước khi ghi vào bài.</t>
  </si>
  <si>
    <t>Chú thích màu:</t>
  </si>
  <si>
    <t>Ô điền giả định (không khóa)</t>
  </si>
  <si>
    <t>Ô công thức (tự tính, đã khóa)</t>
  </si>
  <si>
    <t>0 · Nhiệm vụ 0: đọc hồ sơ tình huống, Đề 1 (5 phút)</t>
  </si>
  <si>
    <t>Cả nhóm đọc cùng một hồ sơ trước khi điền. Nhiệm vụ 0 không tính điểm; đánh dấu "Có" khi cả nhóm đã đọc mục đó.</t>
  </si>
  <si>
    <t>Mục trong hồ sơ tình huống</t>
  </si>
  <si>
    <t>Nhóm đã đọc chưa?</t>
  </si>
  <si>
    <t>Dùng ở đâu trong file</t>
  </si>
  <si>
    <t>Lưu ý</t>
  </si>
  <si>
    <t>Ghi chú của nhóm</t>
  </si>
  <si>
    <t>Số liệu kinh tế của đề (9 dòng)</t>
  </si>
  <si>
    <t>Đã điền sẵn ở trang 2, dòng 12–20: chi phí mỗi việc, biên lợi nhuận, điều kiện dừng</t>
  </si>
  <si>
    <t>Đọc để hiểu; không cần chép</t>
  </si>
  <si>
    <t>Bối cảnh, sản phẩm, "1 việc" là gì</t>
  </si>
  <si>
    <t>Giả thuyết và chỉ số ở trang 1</t>
  </si>
  <si>
    <t>Viết giả thuyết theo đúng "1 việc" của đề</t>
  </si>
  <si>
    <t>6 việc gợi ý</t>
  </si>
  <si>
    <t>Trang 1, cột B–C; nhóm được thêm việc của mình</t>
  </si>
  <si>
    <t>Giữ, bỏ hay đổi thứ tự đều phải ghi lý do ở cột Q</t>
  </si>
  <si>
    <t>Kết quả đánh giá đã có (bộ đề, cổng phát hành)</t>
  </si>
  <si>
    <t>Cổng đánh giá ở trang 2; việc cần làm trước ở trang 3</t>
  </si>
  <si>
    <t>Đề 2, 3: kết luận chưa phải "Phát hành" → có việc phải làm trước</t>
  </si>
  <si>
    <t>Chuyên gia và số giờ của họ</t>
  </si>
  <si>
    <t>Dòng "Điều kiện cần" ở trang 3; ô "Cần gì" ở trang 5</t>
  </si>
  <si>
    <t>Dẫn đúng số giờ trong hồ sơ</t>
  </si>
  <si>
    <t>Gợi ý về người duyệt và mức tự động</t>
  </si>
  <si>
    <t>Trang 2, cột H và I</t>
  </si>
  <si>
    <t>Đề 3: bác sĩ của bệnh viện không tính vào chi phí</t>
  </si>
  <si>
    <t>Số mục nhóm đã đọc</t>
  </si>
  <si>
    <t>Đủ 6/6 thì sang Nhiệm vụ 1.</t>
  </si>
  <si>
    <t>1 · Danh sách việc và chấm điểm ưu tiên</t>
  </si>
  <si>
    <t>Điểm = Độ phủ × Tác động × Mức tự tin ÷ Công sức × (0,5 + 0,5 × sẵn sàng trung bình của dữ liệu và đánh giá) × (1 − 0,5 × rủi ro bị 'nuốt')</t>
  </si>
  <si>
    <t>STT</t>
  </si>
  <si>
    <t>Việc</t>
  </si>
  <si>
    <t>Kết quả muốn đạt</t>
  </si>
  <si>
    <t>Giả thuyết (Ta tin rằng…)</t>
  </si>
  <si>
    <t>Chỉ số thành công và ngưỡng</t>
  </si>
  <si>
    <t>Độ phủ 1–5</t>
  </si>
  <si>
    <t>Tác động 1–5</t>
  </si>
  <si>
    <t>Mức tự tin 0,5 / 0,8 / 1</t>
  </si>
  <si>
    <t>Công sức 1–5</t>
  </si>
  <si>
    <t>Sẵn sàng dữ liệu 0–1</t>
  </si>
  <si>
    <t>Sẵn sàng đánh giá 0–1</t>
  </si>
  <si>
    <t>Rủi ro bị nuốt 0–1</t>
  </si>
  <si>
    <t>ĐIỂM</t>
  </si>
  <si>
    <t>Xếp hạng</t>
  </si>
  <si>
    <t>Chỉ số có con số?</t>
  </si>
  <si>
    <t>Tự làm / Mua / Chờ / Không làm</t>
  </si>
  <si>
    <t>Lý do (đổi thứ tự, chọn mua hay chờ…)</t>
  </si>
  <si>
    <t>2 · Lộ trình tăng dần mức tự động và cổng đánh giá</t>
  </si>
  <si>
    <t>Mỗi lần lên mức phải qua một cổng đánh giá bằng con số. Chưa qua cổng thì chưa lên mức, dù đã đến ngày. Mức tự động quyết định chi phí mỗi việc: xem cột H–L.</t>
  </si>
  <si>
    <t>Mức</t>
  </si>
  <si>
    <t>Tên mức</t>
  </si>
  <si>
    <t>AI làm gì</t>
  </si>
  <si>
    <t>Người làm gì</t>
  </si>
  <si>
    <t>Cổng đánh giá để lên mức này (chỉ số + ngưỡng + cỡ mẫu)</t>
  </si>
  <si>
    <t>Dữ liệu / hạ tầng / tuân thủ cần có</t>
  </si>
  <si>
    <t>Dự kiến (kế hoạch nội bộ, không phải cam kết)</t>
  </si>
  <si>
    <t>% việc có người duyệt</t>
  </si>
  <si>
    <t>Ai duyệt</t>
  </si>
  <si>
    <t>Chi phí mỗi việc (đ)</t>
  </si>
  <si>
    <t>Biên lợi nhuận gộp</t>
  </si>
  <si>
    <t>Biên ≥ 60%?</t>
  </si>
  <si>
    <t>Cổng có con số?</t>
  </si>
  <si>
    <t>Gợi ý</t>
  </si>
  <si>
    <t>Hỗ trợ có duyệt</t>
  </si>
  <si>
    <t>Tự động một phần</t>
  </si>
  <si>
    <t>Tự động có giám sát</t>
  </si>
  <si>
    <t>SỐ LIỆU KINH TẾ CỦA ĐỀ (đã điền sẵn từ hồ sơ tình huống; sửa được nếu nhóm có lý do)</t>
  </si>
  <si>
    <t>Chi phí gọi AI / việc (đã tính gọi lại)</t>
  </si>
  <si>
    <t>Hồ sơ, bảng Số liệu kinh tế, dòng 1</t>
  </si>
  <si>
    <t>Hạ tầng + đánh giá + khác / việc</t>
  </si>
  <si>
    <t>dòng 2</t>
  </si>
  <si>
    <t>Số phút người duyệt / việc</t>
  </si>
  <si>
    <t>dòng 3</t>
  </si>
  <si>
    <t>Chi phí 1 giờ người duyệt (đ)</t>
  </si>
  <si>
    <t>dòng 4</t>
  </si>
  <si>
    <t>Doanh thu bình quân / khách / tháng (đ)</t>
  </si>
  <si>
    <t>dòng 5</t>
  </si>
  <si>
    <t>Số việc bình quân / khách / tháng</t>
  </si>
  <si>
    <t>dòng 6</t>
  </si>
  <si>
    <t>Biến nguy hiểm nhất</t>
  </si>
  <si>
    <t>Doanh thu bình quân (65% doanh thu đến từ 30% văn phòng dùng nhiều)</t>
  </si>
  <si>
    <t>dòng 7</t>
  </si>
  <si>
    <t>Điều kiện dừng đã chọn (theo đề)</t>
  </si>
  <si>
    <t>NẾU doanh thu bình quân dưới 3,71 triệu/văn phòng trong 2 tháng liên tiếp, trên ít nhất 10 văn phòng, THÌ dừng mở rộng</t>
  </si>
  <si>
    <t>dòng 8</t>
  </si>
  <si>
    <t>Kịch bản xấu hết tiền ở tháng</t>
  </si>
  <si>
    <t>dòng 9</t>
  </si>
  <si>
    <t>Ghi chú: người duyệt của mình là kế toán viên của công ty. Gợi ý của đề: Mức 1 duyệt khoảng 20%; Mức 2 khoảng 10%.</t>
  </si>
  <si>
    <t>3 · Bảng lộ trình theo giả thuyết: Bây giờ / Tiếp theo / Sau này</t>
  </si>
  <si>
    <t>Bây giờ = cam kết (0–3 tháng) · Tiếp theo = định hướng (3–6 tháng) · Sau này = khám phá (6–12 tháng). Càng xa càng ít chi tiết.</t>
  </si>
  <si>
    <t>Dòng</t>
  </si>
  <si>
    <t>Bây giờ (0–3 tháng)</t>
  </si>
  <si>
    <t>Tiếp theo (3–6 tháng)</t>
  </si>
  <si>
    <t>Sau này (6–12 tháng)</t>
  </si>
  <si>
    <t>Việc chính (lấy từ trang 1)</t>
  </si>
  <si>
    <t>Giả thuyết</t>
  </si>
  <si>
    <t>Mức tự động (trang 2)</t>
  </si>
  <si>
    <t>Cổng đánh giá</t>
  </si>
  <si>
    <t>Điều kiện cần: dữ liệu / hạ tầng / tuân thủ</t>
  </si>
  <si>
    <t>Căn cứ kinh tế (số liệu của đề và trang 2)</t>
  </si>
  <si>
    <t>Điều kiện dừng / đổi hướng</t>
  </si>
  <si>
    <t>4 · Lịch rà soát lộ trình</t>
  </si>
  <si>
    <t>Rà soát theo lịch VÀ mỗi khi có sự kiện. Ở mốc 30/60/90 chọn 1 trong 4: đi tiếp, sửa, đổi hướng, dừng.</t>
  </si>
  <si>
    <t>Mốc / sự kiện</t>
  </si>
  <si>
    <t>Nhìn vào chỉ số nào</t>
  </si>
  <si>
    <t>Quyết định có thể đưa ra</t>
  </si>
  <si>
    <t>Ai quyết</t>
  </si>
  <si>
    <t>Ngày 30</t>
  </si>
  <si>
    <t>Ngày 60</t>
  </si>
  <si>
    <t>Ngày 90</t>
  </si>
  <si>
    <t>Có mô hình mới / giá gọi AI giảm mạnh</t>
  </si>
  <si>
    <t>Nền tảng hoặc đối thủ ra tính năng tương tự</t>
  </si>
  <si>
    <t>Quy định pháp lý thay đổi</t>
  </si>
  <si>
    <t>Ngày 90 chưa đo được giá trị vòng đời thật: khách mới dùng 3 tháng. Chỉ dùng chỉ số đã có đủ dữ liệu.</t>
  </si>
  <si>
    <t>5 · Lộ trình 1 slide cho lãnh đạo</t>
  </si>
  <si>
    <t>Kết luận trước. Không quá 60 chữ mỗi ô (cột C tự đếm).</t>
  </si>
  <si>
    <t>Số chữ</t>
  </si>
  <si>
    <t>Đạt?</t>
  </si>
  <si>
    <t>Kết luận (1 câu)</t>
  </si>
  <si>
    <t>3 việc chính</t>
  </si>
  <si>
    <t>Cần gì (người, tiền, dữ liệu)</t>
  </si>
  <si>
    <t>Rủi ro lớn nhất &amp; cách xử lý</t>
  </si>
  <si>
    <t>Khi nào xem lại</t>
  </si>
  <si>
    <t>6 · Tự kiểm tra</t>
  </si>
  <si>
    <t>Chưa 'Đạt' thì quay lại sửa trước khi nộp file.</t>
  </si>
  <si>
    <t>Điểm kiểm tra</t>
  </si>
  <si>
    <t>Kết quả</t>
  </si>
  <si>
    <t>Số việc đã chấm điểm (cần ≥ 5)</t>
  </si>
  <si>
    <t>Việc được giữ lại mà thiếu giả thuyết hoặc chỉ số có con số (cần = 0)</t>
  </si>
  <si>
    <t>Số mức tự động có cổng đánh giá kèm con số (cần ≥ 2, không tính Mức 0)</t>
  </si>
  <si>
    <t>Bảng lộ trình: số ô tầng 'Bây giờ' đã điền (cần 8/8)</t>
  </si>
  <si>
    <t>Điều kiện dừng tầng 'Bây giờ' có con số</t>
  </si>
  <si>
    <t>Căn cứ kinh tế có con số (từ số liệu của đề)</t>
  </si>
  <si>
    <t>Slide lãnh đạo: số ô đạt (đủ chữ, không quá 60 chữ; cần 5)</t>
  </si>
  <si>
    <t>Số mức tự động có biên lợi nhuận ≥ 60% (cần ≥ 1)</t>
  </si>
  <si>
    <t>7 · Thang điểm sản phẩm (100 điểm)</t>
  </si>
  <si>
    <t>Tiêu chí</t>
  </si>
  <si>
    <t>Điểm</t>
  </si>
  <si>
    <t>Bài đạt khi</t>
  </si>
  <si>
    <t>Điểm nhóm</t>
  </si>
  <si>
    <t>Theo kết quả và giả thuyết</t>
  </si>
  <si>
    <t>Mỗi việc có giả thuyết, chỉ số và ngưỡng, không chỉ là tên tính năng</t>
  </si>
  <si>
    <t>Ưu tiên có căn cứ</t>
  </si>
  <si>
    <t>Bảng điểm ≥ 5 việc; có sẵn sàng dữ liệu, đánh giá và rủi ro bị nuốt; dùng số liệu kinh tế của đề; đổi thứ tự hoặc bỏ việc thì ghi lý do</t>
  </si>
  <si>
    <t>Mức tự động và cổng đánh giá</t>
  </si>
  <si>
    <t>≥ 2 mức có cổng bằng con số (chỉ số, ngưỡng, cỡ mẫu); có vai trò của người; có chi phí mỗi việc theo mức</t>
  </si>
  <si>
    <t>Điều kiện cần và rủi ro</t>
  </si>
  <si>
    <t>Nêu dữ liệu, hạ tầng, tuân thủ; điều kiện dừng đo được với quy mô thử nghiệm; có lịch rà soát</t>
  </si>
  <si>
    <t>Slide lãnh đạo</t>
  </si>
  <si>
    <t>Kết luận trước, ≤ 60 chữ mỗi ô, trả lời được "cần gì" và "khi nào xem lại"</t>
  </si>
  <si>
    <t>TỔNG</t>
  </si>
  <si>
    <t>THANG ĐIỂM TRÌNH BÀY (1–5 điểm mỗi tiêu chí)</t>
  </si>
  <si>
    <t>Mức 1</t>
  </si>
  <si>
    <t>Mức 3</t>
  </si>
  <si>
    <t>Mức 5</t>
  </si>
  <si>
    <t>Rõ ràng</t>
  </si>
  <si>
    <t>Câu đầu chưa có kết luận; người nghe phải đoán nhóm làm gì trước</t>
  </si>
  <si>
    <t>Có kết luận nhưng nói sau phần mở đầu, hoặc thiếu mốc quyết định</t>
  </si>
  <si>
    <t>Câu đầu có việc làm trước, mục tiêu bằng số và ngày quyết định</t>
  </si>
  <si>
    <t>Bằng chứng</t>
  </si>
  <si>
    <t>Không có cổng đánh giá, hoặc số không có nguồn</t>
  </si>
  <si>
    <t>Có cổng nhưng thiếu cỡ mẫu hoặc căn cứ kinh tế</t>
  </si>
  <si>
    <t>Cổng đủ chỉ số, ngưỡng, cỡ mẫu; căn cứ kinh tế lấy từ số liệu của đề</t>
  </si>
  <si>
    <t>Trả lời phản biện</t>
  </si>
  <si>
    <t>Né câu hỏi hoặc trả lời chung chung</t>
  </si>
  <si>
    <t>Trả lời đúng ý nhưng không dẫn số</t>
  </si>
  <si>
    <t>Trả lời thẳng, dẫn đúng con số trong file</t>
  </si>
  <si>
    <t>Đúng giờ</t>
  </si>
  <si>
    <t>Quá 4 phút</t>
  </si>
  <si>
    <t>Từ 3 đến 4 phút</t>
  </si>
  <si>
    <t>Không quá 3 phút</t>
  </si>
  <si>
    <t>Mức 2 và 4 dùng khi bài nằm giữa hai mô tả. Bản chuẩn của buổi học không có phần trình bày trên lớp: điểm buổi = thang sản phẩm 100 điểm ở trên. Thang trình bày chỉ dùng khi giảng viên tổ chức trình bày.</t>
  </si>
  <si>
    <t>Có</t>
  </si>
  <si>
    <t>Giữ nguyên 9 đầu vào kinh tế. Mọi số kết quả là tính toán theo giả định đề, chưa đo thực tế.</t>
  </si>
  <si>
    <t>Neiv chọn Đề 1 theo quyền lựa chọn học viên giao; không suy số nhóm. 1 việc = 1 hóa đơn đọc, đối chiếu, nhập.</t>
  </si>
  <si>
    <t>Giữ cả 6 việc gợi ý để so sánh; quyết định làm/mua/chờ/không làm có lý do ở Q.</t>
  </si>
  <si>
    <t>Bản 2: phát hành, 97,3%, 0 lỗi nghiêm trọng, 0 tầng tụt, kappa 0,90 trên 40 ca.</t>
  </si>
  <si>
    <t>Hạnh 3 giờ/tuần, Tùng có thể chấm nhưng chưa chốt số giờ. Vòng 40 ca 8,5 giờ, cần xếp lịch.</t>
  </si>
  <si>
    <t>Người duyệt tính phí: kế toán viên công ty. Hạnh kiểm 1% tuần đầu; tỷ lệ 20%/10% là kế hoạch.</t>
  </si>
  <si>
    <t>Đọc ảnh hoá đơn giấy, ảnh chụp</t>
  </si>
  <si>
    <t>Giảm 50% giờ nhập hoá đơn ảnh</t>
  </si>
  <si>
    <t>Ta tin rằng đọc ảnh hai bước cho nhân viên nhập liệu sẽ giảm 50% tổng giờ nhập hóa đơn ảnh, kể cả sửa và duyệt.</t>
  </si>
  <si>
    <t>Ngày 30: tổng phút/100 hóa đơn ảnh giảm ≥50% so với nhập tay trên cùng 100 ảnh, ghi đủ giờ sửa; 0 lỗi nghiêm trọng.</t>
  </si>
  <si>
    <t>Tự làm</t>
  </si>
  <si>
    <t>Bản 2 đã phát hành, đạt 97,3% trên bộ 40 ca. Điểm dữ liệu/đánh giá 0,9 vì mẫu nhỏ. Rủi ro 0,6 do đọc ảnh dễ phổ biến; giữ lợi thế quy trình và đo thời gian.</t>
  </si>
  <si>
    <t>Gắn cờ hoá đơn cần người xem</t>
  </si>
  <si>
    <t>Kế toán chỉ xem khoảng 20% hoá đơn</t>
  </si>
  <si>
    <t>Ta tin rằng gắn cờ đúng và lấy mẫu cho kế toán sẽ giữ tỷ lệ duyệt khoảng 20% mà vẫn chặn sai mã số thuế hoặc tiền.</t>
  </si>
  <si>
    <t>Ngày 30: ≤20% hóa đơn cần duyệt trên 1.000 hóa đơn liên tiếp; cờ thừa ≤10% tổng số; 0 lỗi nghiêm trọng trong mẫu kiểm.</t>
  </si>
  <si>
    <t>Ưu tiên cao nhất vì an toàn và chi phí. Mục tiêu cờ ≤10% tổng việc + mẫu ngẫu nhiên 10% tổng việc từ phần không cờ, không trùng mẫu. Nếu cờ tăng phải duyệt hết, chấp nhận chi phí cao.</t>
  </si>
  <si>
    <t>Nhập tự động hoá đơn điện tử (tệp gốc)</t>
  </si>
  <si>
    <t>Giảm 70% thời gian nhập hoá đơn điện tử</t>
  </si>
  <si>
    <t>Ta tin rằng dùng bộ nhập tệp gốc có sẵn cho văn phòng sẽ giảm 70% thời gian nhập hóa đơn điện tử mà không xây lại chức năng chung.</t>
  </si>
  <si>
    <t>Ngày 30: tổng phút/100 tệp giảm ≥70% so với thủ công trên cùng 100 tệp; 0 sai tiền/MST, 0 bản nhập trùng. Thời gian gồm xử lý lỗi.</t>
  </si>
  <si>
    <t>Mua</t>
  </si>
  <si>
    <t>Điểm cao nhưng tích hợp/tận dụng phần mềm văn phòng đã có thay vì tự xây. Rủi ro bị nuốt 1 vì hồ sơ xác nhận có sẵn. Kiểm tra giấy phép và phí tích hợp trước triển khai; chưa có báo giá.</t>
  </si>
  <si>
    <t>Đối chiếu mã số thuế người bán</t>
  </si>
  <si>
    <t>Không nhập nhầm người bán</t>
  </si>
  <si>
    <t>Ta tin rằng đối chiếu mã số thuế qua dịch vụ tra cứu và chặn trường hợp bất nhất sẽ giúp kế toán không nhập nhầm người bán.</t>
  </si>
  <si>
    <t>Ngày 60: 100% MST được tra cứu hoặc chuyển người; 0 sai người bán trên 300 hóa đơn kiểm tra. Dịch vụ lỗi: chặn tự nhập.</t>
  </si>
  <si>
    <t>Dùng dịch vụ tra cứu đã có, tự cấu hình quy tắc chặn và nhật ký. L=0,4 vì tích hợp cần ngữ cảnh. Là phụ thuộc an toàn trước tăng mức dù thứ hạng thấp hơn nhập tệp gốc. Chưa có báo giá dịch vụ.</t>
  </si>
  <si>
    <t>Gợi ý tài khoản hạch toán</t>
  </si>
  <si>
    <t>Giảm 30% thời gian hạch toán</t>
  </si>
  <si>
    <t>Ta tin rằng gợi ý tài khoản theo dữ liệu được cho phép của từng doanh nghiệp sẽ giảm 30% thời gian hạch toán khi kế toán xác nhận.</t>
  </si>
  <si>
    <t>Tháng 9: sau khi có dữ liệu và bộ đề riêng ≥100 bút toán, tổng phút/bút toán giảm ≥30%, kế toán chấp thuận gợi ý ≥90%; chưa có dữ liệu thì chưa thử.</t>
  </si>
  <si>
    <t>Chờ</t>
  </si>
  <si>
    <t>Hồ sơ chưa có dữ liệu hạch toán nên J=0, K=0,1. Xem lại tháng 6 và 9; xin quyền sử dụng, chuẩn hóa tài khoản, lập bộ đề riêng trước. Không dùng bộ 40 hóa đơn để chứng minh hạch toán.</t>
  </si>
  <si>
    <t>Trả lời câu hỏi thuế chung cho khách của văn phòng</t>
  </si>
  <si>
    <t>Bớt cuộc gọi hỏi đáp</t>
  </si>
  <si>
    <t>Ta tin rằng trả lời câu hỏi thuế chung có nguồn và kế toán duyệt sẽ giảm cuộc gọi hỏi đáp, nhưng cần kiểm tra giá trị so với công cụ miễn phí.</t>
  </si>
  <si>
    <t>Nếu cân nhắc lại tháng 6: kiểm ≥100 câu hỏi có đáp án chuyên gia, đúng và có nguồn ≥95%, cuộc gọi/khách giảm ≥20% trong 4 tuần; hiện không triển khai.</t>
  </si>
  <si>
    <t>Không làm</t>
  </si>
  <si>
    <t>Gợi ý AI: nội dung hỏi đáp chung dễ bị công cụ miễn phí làm thay trong 12 tháng. Đây là nhận định, chưa kiểm chứng thị trường; hồ sơ không có bộ đề thuế. Không phân tán giờ chuyên gia; xem lại chỉ khi có nhu cầu riêng.</t>
  </si>
  <si>
    <t>Gợi ý trường dữ liệu, chưa tự ghi vào sổ.</t>
  </si>
  <si>
    <t>Kế toán viên công ty xem và xác nhận 100% trước khi nhập.</t>
  </si>
  <si>
    <t>Mức tham chiếu/khôi phục. Bản 2 có 0 lỗi nghiêm trọng/40 ca, chưa suy ra tỷ lệ lỗi thật bằng 0.</t>
  </si>
  <si>
    <t>Dữ liệu được phép dùng, phân quyền, nhật ký, chống nhập trùng và nút dừng.</t>
  </si>
  <si>
    <t>Khởi đầu hoặc lùi mức khi vi phạm cổng.</t>
  </si>
  <si>
    <t>Người của mình</t>
  </si>
  <si>
    <t>Đọc ảnh, gắn cờ và nhập phần không cờ sau kiểm tra quy tắc.</t>
  </si>
  <si>
    <t>Kế toán viên công ty duyệt mọi cờ + mẫu 10% tổng việc từ phần không cờ. Chị Hạnh kiểm 1% hóa đơn thật tuần đầu, nằm trong mẫu này.</t>
  </si>
  <si>
    <t>0–3 tháng, rà ngày 30. Thử ở văn phòng hiện có.</t>
  </si>
  <si>
    <t>Tự nhập hóa đơn qua đối chiếu MST, tiền và chống trùng. Ca ngoài phạm vi vẫn chuyển người.</t>
  </si>
  <si>
    <t>Kế toán viên công ty duyệt mọi cờ; dự kiến 5% tổng việc gắn cờ + 5% tổng việc lấy mẫu không cờ. Hạnh xác nhận ngoại lệ.</t>
  </si>
  <si>
    <t>Hoàn tất dịch vụ MST, timeout phải chặn, truy vết và quay lui. Kiểm mẫu 300 bằng nhân sự công ty; chuyên gia xử lý bất đồng. Tỷ lệ duyệt 10% chỉ dùng khi cờ ≤5%; vượt thì tăng duyệt.</t>
  </si>
  <si>
    <t>Định hướng tháng 3–6, chỉ mở sau cổng và đủ nhân sự.</t>
  </si>
  <si>
    <t>Tự nhập phần đủ điều kiện, giám sát liên tục; không xử lý ngoài phạm vi.</t>
  </si>
  <si>
    <t>Kế toán viên công ty duyệt mọi cờ và mẫu, dự kiến 2% cờ +3% tổng việc lấy mẫu không cờ. Có quyền dừng tức thì.</t>
  </si>
  <si>
    <t>Chưa cam kết: 0 lỗi MST/tiền trên ≥1.000 hóa đơn kiểm trong ≥4 tuần; bộ 40 ca đạt ≥95%, 0 tầng tụt, kappa ≥0,6. Cờ ≤2% tổng việc. Hạnh xác nhận; lãnh đạo duyệt sau kiểm chi phí.</t>
  </si>
  <si>
    <t>Khám phá tháng 6–12, giữ Mức 2 nếu thiếu bằng chứng.</t>
  </si>
  <si>
    <t>Ổn định đối chiếu MST và xử lý ngoại lệ; mở Mức 2 nếu qua cổng. Chỉ tuyển thêm văn phòng khi có người duyệt và kinh phí.</t>
  </si>
  <si>
    <t>Mở rộng có điều kiện; xem xét Mức 3. Khám phá gợi ý hạch toán (5) khi đủ dữ liệu. Không làm hỏi đáp thuế chung (6).</t>
  </si>
  <si>
    <t>Ta tin rằng đọc ảnh + gắn cờ cho văn phòng thử nghiệm sẽ giảm 50% giờ nhập ảnh và giới hạn duyệt khoảng 20% mà vẫn chặn lỗi tiền/MST.</t>
  </si>
  <si>
    <t>Ta tin rằng tra cứu MST và chặn bất nhất sẽ giữ chất lượng khi giảm duyệt xuống 10%; chỉ mở quy mô khi chứng minh trên dữ liệu thật.</t>
  </si>
  <si>
    <t>Ta tin rằng dữ liệu hạch toán có phép sẽ giúp giảm 30% thời gian hạch toán; kiểm chứng riêng thay vì suy từ chất lượng đọc ảnh.</t>
  </si>
  <si>
    <t>Ngày 30: giảm ≥50% tổng phút/100 ảnh; nhập tệp giảm ≥70%/100 tệp; cờ thừa ≤10%/1.000 hóa đơn; 0 lỗi nghiêm trọng trong mẫu.</t>
  </si>
  <si>
    <t>Ngày 90–180: 0 lỗi MST/tiền trên ≥300 hóa đơn kiểm, đạt quy về thực tế ≥95%; cờ ≤5% tổng việc, duyệt dự kiến 10%.</t>
  </si>
  <si>
    <t>Tháng 9: ≥100 bút toán, giảm ≥30% phút/bút toán, chấp thuận ≥90%. Mức 3 cần 0 lỗi nghiêm trọng/1.000 hóa đơn kiểm trong ≥4 tuần.</t>
  </si>
  <si>
    <t>Mức 2: duyệt dự kiến 10%; mọi cờ + mẫu không trùng; nếu cờ tăng thì tăng duyệt, không bỏ cờ.</t>
  </si>
  <si>
    <t>Mức 2 là mặc định. Mức 3 (duyệt 5%) chỉ là khám phá, không mở theo lịch nếu chưa qua cổng.</t>
  </si>
  <si>
    <t>Cổng Mức 1 trang 2: bộ 40 ca ≥95%, 0 lỗi nghiêm trọng, 0 tầng tụt, kappa ≥0,6; kiểm ≥200/1.000 hóa đơn thử. Hạnh/Tùng xác nhận.</t>
  </si>
  <si>
    <t>Xác nhận giờ Tùng, ngân sách dịch vụ MST/phần mềm và nhân sự duyệt. 10% ×12.000×1,5 phút=30 giờ/tháng, chưa kể chấm cổng độc lập. Kiểm 300 ca tối thiểu 7,5 giờ ở mức rà nhanh; ca khó cần thêm giờ.</t>
  </si>
  <si>
    <t>Xin dữ liệu hạch toán có phép, tạo nhãn/bộ đề và kinh phí kiểm ≥1.000 ca (ít nhất 25 giờ rà nhanh). Xác nhận khả năng cung cấp chuyên gia trước mọi mở rộng. Rà soát nghĩa vụ pháp lý trước phát hành.</t>
  </si>
  <si>
    <t>Mức 3:516,5đ/việc, biên 77,10% theo đề, chưa gồm chi phí mua phát sinh vượt 200đ. Trước tháng 7 phải có hợp đồng/nguồn tiền hoặc giảm phạm vi vì kịch bản hết tiền tháng 7. Không suy lợi nhuận từ mẫu nhỏ.</t>
  </si>
  <si>
    <t>Hạnh xác nhận chất lượng, Tùng đối chiếu; lãnh đạo sản phẩm quyết phạm vi.</t>
  </si>
  <si>
    <t>Hạnh ký cổng, kỹ sư xác nhận chặn/hoàn tác; lãnh đạo sản phẩm và tài chính quyết.</t>
  </si>
  <si>
    <t>Đi tiếp Mức 2 khi đủ mọi cổng. Thiếu bằng chứng: giữ Mức 1; sai tiền/MST: dừng tự nhập. Đổi hướng sang tích hợp nếu phí mua làm biên &lt;60% và không giảm được an toàn.</t>
  </si>
  <si>
    <t>Lãnh đạo sản phẩm quyết sau xác nhận của Hạnh, kỹ sư và tài chính.</t>
  </si>
  <si>
    <t>So bản mới trên toàn bộ 40 ca, kiểm đủ 4 tầng, ≥95%, 0 lỗi, 0 tầng tụt; tính lại chi phí gọi và duyệt, thời gian đáp ứng.</t>
  </si>
  <si>
    <t>Kỹ sư chạy kiểm, Hạnh/Tùng chấm; lãnh đạo sản phẩm duyệt đổi.</t>
  </si>
  <si>
    <t>So tính năng nhập tệp/MST/đọc ảnh với nhu cầu thực, kết quả trên cùng 100 tệp/ảnh và tổng phí tích hợp + vận hành.</t>
  </si>
  <si>
    <t>Mua/tận dụng khi đạt cổng và tổng chi phí tốt hơn; giữ quy tắc kiểm soát đặc thù. Không mở nhánh hỏi đáp thuế chỉ để bắt kịp đối thủ.</t>
  </si>
  <si>
    <t>Lãnh đạo sản phẩm và tài chính, Hạnh xác nhận nghiệp vụ.</t>
  </si>
  <si>
    <t>Khi quy định đổi: kiểm văn bản gốc, quyền xử lý dữ liệu, thông báo AI, lưu trữ, nhà cung cấp và phạm vi áp dụng với hỗ trợ pháp lý.</t>
  </si>
  <si>
    <t>Tạm dừng chức năng bị ảnh hưởng cho tới khi xác nhận tuân thủ; sửa quyền truy cập/hợp đồng/quy trình, ghi phiên bản và rà lại cổng trước mở.</t>
  </si>
  <si>
    <t>Người phụ trách pháp lý/dữ liệu được chỉ định và lãnh đạo sản phẩm.</t>
  </si>
  <si>
    <t>Giữ cổng hồ sơ: đạt quy về thực tế ≥95%, 0 lỗi nghiêm trọng, 0 tầng tụt, kappa ≥0,6 trên 40 ca; Hạnh/Tùng xác nhận. Thử ≤1.000 hóa đơn, kiểm ≥200 gồm mọi cờ + mẫu không cờ. Cờ thừa ≤10% tổng việc. Chỉ tự nhập sau đối chiếu MST/tiền; hết ngân sách chưa qua cổng thì giữ Mức 0.</t>
  </si>
  <si>
    <t>Bản 2 đã phát hành: 97,3%, 0 lỗi, 0 tầng tụt, kappa 0,90. Tích hợp tra cứu MST trước tự nhập; lỗi tra cứu thì chặn. Cần quyền dữ liệu, thông báo AI, phân quyền, nhật ký và hoàn tác. Duyệt 20% là giả định, tăng khi cờ tăng. Thử 1.000 ca: 5 giờ duyệt, 704.000đ chi phí biến đổi dự kiến; duyệt riêng phí phát sinh.</t>
  </si>
  <si>
    <t>Sau sửa/đổi bản: chạy lại 40 ca, giữ ≥95%, 0 lỗi nghiêm trọng, 0 tầng tụt, kappa ≥0,6. Kiểm độc lập ≥300 hóa đơn thật: 0 lỗi MST/tiền, đạt quy về thực tế ≥95%. Có mẫu ngẫu nhiên đại diện, tăng mẫu các tầng hiếm và báo riêng. Hạnh ký cổng, Tùng đối chiếu.</t>
  </si>
  <si>
    <t>Đủ dữ liệu theo tầng, cảnh báo, hoàn tác, người trực và kinh phí kiểm mẫu bổ sung. Quy tắc 3/n chỉ là gần đúng với mẫu ngẫu nhiên độc lập, không áp thẳng cho bộ đề chọn ca có chủ đích; 0 lỗi không bảo đảm an toàn tuyệt đối. Thiếu bằng chứng thì giữ Mức 2.</t>
  </si>
  <si>
    <t>Ngày 30: hoàn tất đọc ảnh và gắn cờ (1–2), tận dụng bộ nhập tệp gốc (3), tích hợp MST (4) trước tự nhập. Thử tối đa 1.000 hóa đơn tại văn phòng hiện có; ngày 90 quyết định bước tiếp sau cổng.</t>
  </si>
  <si>
    <t>Mức 0 khi chưa tích hợp đối chiếu MST/tiền hoặc chưa duyệt ngân sách. Mức 1 dự kiến duyệt 20%, mọi cờ + mẫu không trùng. Lùi Mức 0 khi có lỗi nghiêm trọng. Ngày 90 chỉ xét Mức 2 nếu đủ 300 ca kiểm độc lập.</t>
  </si>
  <si>
    <t>Cổng Mức 2: giữ cổng 40 ca và kiểm độc lập ≥300 hóa đơn thật, 0 lỗi nghiêm trọng. Lấy mẫu ngẫu nhiên đại diện, bổ sung ca tầng hiếm. Quy tắc 3/n≈1% chỉ gần đúng cho phần mẫu ngẫu nhiên độc lập; bộ đề chủ đích không chứng minh tỷ lệ lỗi thật. Hạnh xác nhận.</t>
  </si>
  <si>
    <t>Cổng Mức 3: ≥1.000 ca kiểm, 0 lỗi tiền/MST trong ≥4 tuần và không tầng tụt. 3/n≈0,3% chỉ áp gần đúng với mẫu ngẫu nhiên độc lập. Ghi kết quả từng tầng, bổ sung ca hiếm. Hạch toán cần bộ đề riêng và người duyệt.</t>
  </si>
  <si>
    <t>Quyền dữ liệu, phân quyền/nhật ký/hoàn tác và thông báo AI. Hạnh ≤3 giờ/tuần, Tùng hỗ trợ theo lịch cần xác nhận. Vòng 40 ca 8,5 giờ: xếp ≥3 tuần, dành giờ cho kiểm 1% tuần đầu. Thử 1.000 ca cần 5 giờ duyệt công ty; toàn bộ 12.000 ca cần 60 giờ/tháng và gói giá/ngân sách riêng.</t>
  </si>
  <si>
    <t>Theo bình quân đề: 704đ/việc ở Mức 1, 1.760 việc và doanh thu 3,97 triệu: biên 68,79%. Thử 1.000 ca: chi phí biến đổi dự kiến 704.000đ; phí phát sinh duyệt riêng. 12.000 ca tốn 8,448 triệu/tháng, không áp biên 68,79% cho mức này. Doanh thu tập trung; kịch bản xấu hết tiền tháng 7.</t>
  </si>
  <si>
    <t>Mức 2:579đ/việc, biên 74,33% với 3,97 triệu và 1.760 việc; tại doanh thu 3,71 triệu biên ≈72,53%. Nếu xử lý 12.000 ca, chi phí 6,948 triệu/tháng, cần giá ≥17,37 triệu để biên 60% trước phí phát sinh. Phải duyệt gói giá/hạn mức và ngân sách trước mở quy mô.</t>
  </si>
  <si>
    <t>NẾU có ≥1 lỗi MST/tiền bất kỳ lúc nào THÌ dừng tự nhập, lùi Mức 0. NẾU ngày 30 cờ thừa &gt;10%/1.000 ca hoặc giảm giờ &lt;50%/100 ảnh THÌ sửa, giữ quy mô. Thử đủ 1.000 ca mà chưa qua cổng: không tăng phạm vi. Rà hàng tháng: ARPA &lt;3,71 triệu trong 2 tháng liên tiếp trên ≥10 văn phòng thì dừng mở rộng; thiếu mẫu thì chưa kết luận.</t>
  </si>
  <si>
    <t>NẾU ngày 90 chưa đủ 300 ca kiểm hoặc có ≥1 lỗi MST/tiền THÌ giữ/lùi mức và sửa. Rà mỗi tháng: doanh thu &lt;3,71 triệu/văn phòng trong 2 tháng liên tiếp trên ≥10 văn phòng thì dừng mở rộng; thiếu mẫu thì giữ thử nghiệm. Chưa chốt giá/hạn mức hoặc kinh phí thì không xử lý toàn bộ 12.000 ca.</t>
  </si>
  <si>
    <t>NẾU tháng 6 thiếu dữ liệu/bộ đề hạch toán THÌ tiếp tục Chờ, xem lại tháng 9. NẾU tháng 9 chấp thuận &lt;90%/100 bút toán THÌ dừng nhánh. NẾU trước tháng 7 thiếu kinh phí THÌ dừng tuyển mới. Tiếp tục rà hàng tháng: ARPA &lt;3,71 triệu trong 2 tháng liên tiếp trên ≥10 văn phòng thì dừng mở rộng.</t>
  </si>
  <si>
    <t>Ngày 30: tổng phút/100 ảnh và 100 tệp so với thủ công, cờ thừa/1.000, mẫu ≥200, lỗi MST/tiền và chi phí thực. Cờ thừa = số ca gắn cờ được kế toán xác nhận không cần can thiệp / tổng ca xử lý. Rà ngân sách 704.000đ cho 1.000 ca, tách phí phát sinh.</t>
  </si>
  <si>
    <t>Đi tiếp Mức 1 nếu đạt mục tiêu và đủ ngân sách; giảm giờ &lt;50% hoặc cờ thừa &gt;10% thì sửa, giữ phạm vi. ≥1 lỗi nghiêm trọng thì dừng tự nhập ngay. Đủ 1.000 ca chưa qua cổng hoặc chưa có giá/hạn mức thì không mở rộng.</t>
  </si>
  <si>
    <t>Ngày 90: cổng Mức 2, 0 lỗi/300 hóa đơn kiểm, biên thực ≥60%, doanh thu và số văn phòng. Kiểm khả năng tiền trước tháng 7. Chỉ xử lý 12.000 ca khi có gói giá/hạn mức hoặc kinh phí thử riêng được duyệt.</t>
  </si>
  <si>
    <t>Chỉ đổi sau cổng, so chi phí và có phương án quay lui. Xem lại rủi ro bị nuốt, chấm lại việc bị ảnh hưởng, ghi lý do đổi thứ tự. Báo người dùng khi hành vi đổi và theo dõi khiếu nại 2 tuần. Giá rẻ không đủ lý do tăng mức.</t>
  </si>
  <si>
    <t>Đề xuất thử nghiệm SổSạch cho văn phòng kế toán ở Mức 1 trên 1.000 hóa đơn, duyệt 20%, mục tiêu giảm 50% giờ nhập ảnh và quyết định lên Mức 2 vào ngày 90 nếu qua cổng chất lượng.</t>
  </si>
  <si>
    <t>0–3 tháng: đọc ảnh, gắn cờ và đối chiếu mã số thuế. 3–6 tháng: giảm tỷ lệ duyệt sau cổng Mức 2. 6–12 tháng: mở rộng có điều kiện, khám phá hạch toán khi đủ dữ liệu.</t>
  </si>
  <si>
    <t>Cần bộ đề 40 hóa đơn, quyền dữ liệu và kết nối phần mềm. Hạnh tối đa 3 giờ/tuần, Tùng hỗ trợ chấm. Công ty cần 5 giờ duyệt/1.000 hóa đơn, chi phí dự kiến 704.000 đồng. Biên 68,79% chỉ theo bình quân đề. Phí tích hợp cần duyệt riêng.</t>
  </si>
  <si>
    <t>Rủi ro lớn nhất: 65% doanh thu từ 30% văn phòng. Theo dõi từ thử nghiệm, dừng mở rộng nếu doanh thu dưới 3,71 triệu/văn phòng trong 2 tháng liên tiếp trên ít nhất 10 văn phòng. Chưa đủ mẫu thì giữ thử nghiệm. Kịch bản xấu hết tiền tháng 7.</t>
  </si>
  <si>
    <t>Ngày 30/60/90 và khi mô hình, giá hoặc quy định đổi: rà soát. Mức 2 cần đạt từ 95%, không tầng tụt, 0 lỗi nghiêm trọng/300 hóa đơn kiểm. Có 1 lỗi mã số thuế/tiền: ngừng tự nhập ngay. Ngưỡng mới cần kiểm chứng.</t>
  </si>
  <si>
    <t>Ngày 60: bộ 40 ca hồi quy, 300 hóa đơn kiểm tích lũy, tỷ lệ duyệt và chi phí mua. Đo ARPA từng tháng, xét 2 tháng liên tiếp nếu đã có ≥10 văn phòng. Thiếu mẫu, giờ chấm hoặc kinh phí kiểm độc lập thì giữ quy mô thử.</t>
  </si>
  <si>
    <t>Sửa/giữ mức khi thiếu mẫu hoặc không đạt cổng. Dừng mở rộng nếu ARPA &lt;3,71 triệu/văn phòng trong 2 tháng liên tiếp trên ≥10 văn phòng; chưa đủ 10 thì chưa kết luận. Không tăng quyền tự động chỉ vì tới ngày 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</si>
</sst>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0;[Red]\-#,##0"/>
    <numFmt numFmtId="165" formatCode="0.0"/>
  </numFmts>
  <fonts count="9" x14ac:knownFonts="1">
    <font>
      <sz val="11"/>
      <color theme="1"/>
      <name val="Calibri"/>
      <family val="2"/>
    </font>
    <font>
      <sz val="10"/>
      <name val="Arial"/>
    </font>
    <font>
      <b/>
      <sz val="14"/>
      <name val="Cambria"/>
    </font>
    <font>
      <i/>
      <sz val="11"/>
      <color rgb="FF595959"/>
      <name val="Cambria"/>
    </font>
    <font>
      <b/>
      <sz val="11"/>
      <color rgb="FFFFFFFF"/>
      <name val="Cambria"/>
    </font>
    <font>
      <b/>
      <sz val="11"/>
      <name val="Cambria"/>
    </font>
    <font>
      <sz val="11"/>
      <name val="Calibri"/>
    </font>
    <font>
      <i/>
      <sz val="10"/>
      <color rgb="FF595959"/>
      <name val="Calibri"/>
    </font>
    <font>
      <b/>
      <sz val="12"/>
      <name val="Cambria"/>
    </font>
  </fonts>
  <fills count="5">
    <fill>
      <patternFill patternType="none"/>
    </fill>
    <fill>
      <patternFill patternType="gray125"/>
    </fill>
    <fill>
      <patternFill patternType="solid">
        <fgColor rgb="FFFFF2CC"/>
      </patternFill>
    </fill>
    <fill>
      <patternFill patternType="solid">
        <fgColor rgb="FFE2EFDA"/>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xf numFmtId="43" fontId="1" fillId="0" borderId="0" applyBorder="0" applyAlignment="0" applyProtection="0"/>
    <xf numFmtId="41" fontId="1" fillId="0" borderId="0" applyBorder="0" applyAlignment="0" applyProtection="0"/>
    <xf numFmtId="44" fontId="1" fillId="0" borderId="0" applyBorder="0" applyAlignment="0" applyProtection="0"/>
    <xf numFmtId="42" fontId="1" fillId="0" borderId="0" applyBorder="0" applyAlignment="0" applyProtection="0"/>
    <xf numFmtId="9" fontId="1" fillId="0" borderId="0" applyBorder="0" applyAlignment="0" applyProtection="0"/>
  </cellStyleXfs>
  <cellXfs count="32">
    <xf numFmtId="0" fontId="0" fillId="0" borderId="0" xfId="0"/>
    <xf numFmtId="0" fontId="2" fillId="0" borderId="0" xfId="0" applyFont="1"/>
    <xf numFmtId="0" fontId="3" fillId="0" borderId="0" xfId="0" applyFont="1"/>
    <xf numFmtId="0" fontId="0" fillId="2" borderId="0" xfId="0" applyFill="1"/>
    <xf numFmtId="0" fontId="0" fillId="3" borderId="0" xfId="0" applyFill="1"/>
    <xf numFmtId="0" fontId="4" fillId="4" borderId="0" xfId="0" applyFont="1" applyFill="1" applyAlignment="1">
      <alignment wrapText="1"/>
    </xf>
    <xf numFmtId="0" fontId="0" fillId="0" borderId="1" xfId="0" applyBorder="1" applyAlignment="1">
      <alignment vertical="top" wrapText="1"/>
    </xf>
    <xf numFmtId="0" fontId="0" fillId="2" borderId="1" xfId="0" applyFill="1" applyBorder="1" applyAlignment="1" applyProtection="1">
      <alignment vertical="top" wrapText="1"/>
      <protection locked="0"/>
    </xf>
    <xf numFmtId="0" fontId="5" fillId="0" borderId="0" xfId="0" applyFont="1"/>
    <xf numFmtId="0" fontId="4" fillId="4" borderId="0" xfId="0" applyFont="1" applyFill="1" applyAlignment="1">
      <alignment vertical="center" wrapText="1"/>
    </xf>
    <xf numFmtId="0" fontId="0" fillId="0" borderId="1" xfId="0" applyBorder="1"/>
    <xf numFmtId="0" fontId="0" fillId="3" borderId="1" xfId="0" applyFill="1" applyBorder="1" applyAlignment="1">
      <alignment vertical="top" wrapText="1"/>
    </xf>
    <xf numFmtId="0" fontId="0" fillId="3" borderId="1" xfId="0" applyFill="1" applyBorder="1" applyAlignment="1">
      <alignment horizontal="center"/>
    </xf>
    <xf numFmtId="0" fontId="6" fillId="2" borderId="0" xfId="0" applyFont="1" applyFill="1" applyProtection="1">
      <protection locked="0"/>
    </xf>
    <xf numFmtId="9" fontId="6" fillId="2" borderId="0" xfId="0" applyNumberFormat="1" applyFont="1" applyFill="1" applyProtection="1">
      <protection locked="0"/>
    </xf>
    <xf numFmtId="164" fontId="6" fillId="3" borderId="0" xfId="0" applyNumberFormat="1" applyFont="1" applyFill="1"/>
    <xf numFmtId="9" fontId="6" fillId="3" borderId="0" xfId="0" applyNumberFormat="1" applyFont="1" applyFill="1"/>
    <xf numFmtId="0" fontId="6" fillId="3" borderId="0" xfId="0" applyFont="1" applyFill="1"/>
    <xf numFmtId="0" fontId="6" fillId="0" borderId="0" xfId="0" applyFont="1"/>
    <xf numFmtId="164" fontId="6" fillId="2" borderId="0" xfId="0" applyNumberFormat="1" applyFont="1" applyFill="1" applyProtection="1">
      <protection locked="0"/>
    </xf>
    <xf numFmtId="0" fontId="7" fillId="0" borderId="0" xfId="0" applyFont="1"/>
    <xf numFmtId="165" fontId="6" fillId="2" borderId="0" xfId="0" applyNumberFormat="1" applyFont="1" applyFill="1" applyProtection="1">
      <protection locked="0"/>
    </xf>
    <xf numFmtId="1" fontId="6" fillId="2" borderId="0" xfId="0" applyNumberFormat="1" applyFont="1" applyFill="1" applyProtection="1">
      <protection locked="0"/>
    </xf>
    <xf numFmtId="0" fontId="5" fillId="0" borderId="1" xfId="0" applyFont="1" applyBorder="1" applyAlignment="1">
      <alignment vertical="top" wrapText="1"/>
    </xf>
    <xf numFmtId="0" fontId="5" fillId="0" borderId="1" xfId="0" applyFont="1" applyBorder="1"/>
    <xf numFmtId="1" fontId="6" fillId="3" borderId="0" xfId="0" applyNumberFormat="1" applyFont="1" applyFill="1"/>
    <xf numFmtId="0" fontId="0" fillId="0" borderId="0" xfId="0" applyAlignment="1">
      <alignment vertical="top" wrapText="1"/>
    </xf>
    <xf numFmtId="0" fontId="0" fillId="2" borderId="0" xfId="0" applyFill="1" applyProtection="1">
      <protection locked="0"/>
    </xf>
    <xf numFmtId="0" fontId="8" fillId="0" borderId="0" xfId="0" applyFont="1"/>
    <xf numFmtId="0" fontId="5" fillId="0" borderId="0" xfId="0" applyFont="1" applyAlignment="1">
      <alignment vertical="top" wrapText="1"/>
    </xf>
    <xf numFmtId="0" fontId="6" fillId="0" borderId="0" xfId="0" applyFont="1" applyAlignment="1">
      <alignment vertical="top" wrapText="1"/>
    </xf>
    <xf numFmtId="0" fontId="6" fillId="2" borderId="0" xfId="0" applyFont="1" applyFill="1" applyAlignment="1" applyProtection="1">
      <alignment wrapText="1"/>
      <protection locked="0"/>
    </xf>
  </cellXfs>
  <cellStyles count="6">
    <cellStyle name="Comma" xfId="1" xr:uid="{00000000-0005-0000-0000-000001000000}"/>
    <cellStyle name="Comma [0]" xfId="2" xr:uid="{00000000-0005-0000-0000-000002000000}"/>
    <cellStyle name="Currency" xfId="3" xr:uid="{00000000-0005-0000-0000-000003000000}"/>
    <cellStyle name="Currency [0]" xfId="4" xr:uid="{00000000-0005-0000-0000-000004000000}"/>
    <cellStyle name="Normal" xfId="0" builtinId="0"/>
    <cellStyle name="Percent" xfId="5" xr:uid="{00000000-0005-0000-0000-000005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ColWidth="8.6640625" defaultRowHeight="14.4" x14ac:dyDescent="0.3"/>
  <cols>
    <col min="1" max="1" width="120" customWidth="1"/>
  </cols>
  <sheetData>
    <row r="1" spans="1:1" ht="17.25" customHeight="1" x14ac:dyDescent="0.3">
      <c r="A1" s="1" t="s">
        <v>0</v>
      </c>
    </row>
    <row r="2" spans="1:1" ht="15" customHeight="1" x14ac:dyDescent="0.3">
      <c r="A2" s="2" t="s">
        <v>1</v>
      </c>
    </row>
    <row r="4" spans="1:1" ht="15" customHeight="1" x14ac:dyDescent="0.3">
      <c r="A4" t="s">
        <v>2</v>
      </c>
    </row>
    <row r="5" spans="1:1" ht="15" customHeight="1" x14ac:dyDescent="0.3">
      <c r="A5" t="s">
        <v>3</v>
      </c>
    </row>
    <row r="6" spans="1:1" ht="15" customHeight="1" x14ac:dyDescent="0.3">
      <c r="A6" t="s">
        <v>4</v>
      </c>
    </row>
    <row r="7" spans="1:1" ht="15" customHeight="1" x14ac:dyDescent="0.3">
      <c r="A7" t="s">
        <v>5</v>
      </c>
    </row>
    <row r="8" spans="1:1" ht="15" customHeight="1" x14ac:dyDescent="0.3">
      <c r="A8" t="s">
        <v>6</v>
      </c>
    </row>
    <row r="9" spans="1:1" ht="15" customHeight="1" x14ac:dyDescent="0.3">
      <c r="A9" t="s">
        <v>7</v>
      </c>
    </row>
    <row r="11" spans="1:1" ht="15" customHeight="1" x14ac:dyDescent="0.3">
      <c r="A11" t="s">
        <v>8</v>
      </c>
    </row>
    <row r="12" spans="1:1" ht="15" customHeight="1" x14ac:dyDescent="0.3">
      <c r="A12" s="3" t="s">
        <v>9</v>
      </c>
    </row>
    <row r="13" spans="1:1" ht="15" customHeight="1" x14ac:dyDescent="0.3">
      <c r="A13" s="4" t="s">
        <v>10</v>
      </c>
    </row>
  </sheetData>
  <sheetProtection sheet="true" formatColumns="false" formatRows="fals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
  <sheetViews>
    <sheetView workbookViewId="0"/>
  </sheetViews>
  <sheetFormatPr defaultColWidth="8.6640625" defaultRowHeight="14.4" x14ac:dyDescent="0.3"/>
  <cols>
    <col min="1" max="1" width="52" customWidth="1"/>
    <col min="2" max="2" width="14" customWidth="1"/>
    <col min="3" max="4" width="46" customWidth="1"/>
    <col min="5" max="5" width="36" customWidth="1"/>
  </cols>
  <sheetData>
    <row r="1" spans="1:5" ht="17.25" customHeight="1" x14ac:dyDescent="0.3">
      <c r="A1" s="1" t="s">
        <v>11</v>
      </c>
    </row>
    <row r="2" spans="1:5" ht="15" customHeight="1" x14ac:dyDescent="0.3">
      <c r="A2" s="2" t="s">
        <v>12</v>
      </c>
    </row>
    <row r="4" spans="1:5" ht="26.25" customHeight="1" x14ac:dyDescent="0.3">
      <c r="A4" s="5" t="s">
        <v>13</v>
      </c>
      <c r="B4" s="5" t="s">
        <v>14</v>
      </c>
      <c r="C4" s="5" t="s">
        <v>15</v>
      </c>
      <c r="D4" s="5" t="s">
        <v>16</v>
      </c>
      <c r="E4" s="5" t="s">
        <v>17</v>
      </c>
    </row>
    <row r="5" spans="1:5" ht="43.2" x14ac:dyDescent="0.3">
      <c r="A5" s="6" t="s">
        <v>18</v>
      </c>
      <c r="B5" s="7" t="s">
        <v>182</v>
      </c>
      <c r="C5" s="6" t="s">
        <v>19</v>
      </c>
      <c r="D5" s="6" t="s">
        <v>20</v>
      </c>
      <c r="E5" s="7" t="s">
        <v>183</v>
      </c>
    </row>
    <row r="6" spans="1:5" ht="43.2" x14ac:dyDescent="0.3">
      <c r="A6" s="6" t="s">
        <v>21</v>
      </c>
      <c r="B6" s="7" t="s">
        <v>182</v>
      </c>
      <c r="C6" s="6" t="s">
        <v>22</v>
      </c>
      <c r="D6" s="6" t="s">
        <v>23</v>
      </c>
      <c r="E6" s="7" t="s">
        <v>184</v>
      </c>
    </row>
    <row r="7" spans="1:5" ht="28.8" x14ac:dyDescent="0.3">
      <c r="A7" s="6" t="s">
        <v>24</v>
      </c>
      <c r="B7" s="7" t="s">
        <v>182</v>
      </c>
      <c r="C7" s="6" t="s">
        <v>25</v>
      </c>
      <c r="D7" s="6" t="s">
        <v>26</v>
      </c>
      <c r="E7" s="7" t="s">
        <v>185</v>
      </c>
    </row>
    <row r="8" spans="1:5" ht="28.8" x14ac:dyDescent="0.3">
      <c r="A8" s="6" t="s">
        <v>27</v>
      </c>
      <c r="B8" s="7" t="s">
        <v>182</v>
      </c>
      <c r="C8" s="6" t="s">
        <v>28</v>
      </c>
      <c r="D8" s="6" t="s">
        <v>29</v>
      </c>
      <c r="E8" s="7" t="s">
        <v>186</v>
      </c>
    </row>
    <row r="9" spans="1:5" ht="43.2" x14ac:dyDescent="0.3">
      <c r="A9" s="6" t="s">
        <v>30</v>
      </c>
      <c r="B9" s="7" t="s">
        <v>182</v>
      </c>
      <c r="C9" s="6" t="s">
        <v>31</v>
      </c>
      <c r="D9" s="6" t="s">
        <v>32</v>
      </c>
      <c r="E9" s="7" t="s">
        <v>187</v>
      </c>
    </row>
    <row r="10" spans="1:5" ht="43.2" x14ac:dyDescent="0.3">
      <c r="A10" s="6" t="s">
        <v>33</v>
      </c>
      <c r="B10" s="7" t="s">
        <v>182</v>
      </c>
      <c r="C10" s="6" t="s">
        <v>34</v>
      </c>
      <c r="D10" s="6" t="s">
        <v>35</v>
      </c>
      <c r="E10" s="7" t="s">
        <v>188</v>
      </c>
    </row>
    <row r="12" spans="1:5" ht="15" customHeight="1" x14ac:dyDescent="0.3">
      <c r="A12" s="8" t="s">
        <v>36</v>
      </c>
      <c r="B12" s="4">
        <f>COUNTIF(B5:B10,"Có")</f>
        <v>6</v>
      </c>
    </row>
    <row r="13" spans="1:5" ht="15" customHeight="1" x14ac:dyDescent="0.3">
      <c r="A13" s="2" t="s">
        <v>37</v>
      </c>
    </row>
  </sheetData>
  <sheetProtection sheet="true" formatColumns="false" formatRows="false"/>
  <dataValidations count="1">
    <dataValidation allowBlank="true" errorStyle="stop" operator="between" showDropDown="false" showErrorMessage="false" showInputMessage="false" sqref="B5:B10" type="list">
      <formula1>"Có,Chưa"</formula1>
      <formula2>0</formula2>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4"/>
  <sheetViews>
    <sheetView workbookViewId="0"/>
  </sheetViews>
  <sheetFormatPr defaultColWidth="8.6640625" defaultRowHeight="14.4" x14ac:dyDescent="0.3"/>
  <cols>
    <col min="1" max="1" width="4" customWidth="1"/>
    <col min="2" max="2" width="30" customWidth="1"/>
    <col min="3" max="3" width="28" customWidth="1"/>
    <col min="4" max="4" width="38" customWidth="1"/>
    <col min="5" max="5" width="32" customWidth="1"/>
    <col min="6" max="6" width="8" customWidth="1"/>
    <col min="7" max="7" width="10" customWidth="1"/>
    <col min="8" max="8" width="11" customWidth="1"/>
    <col min="9" max="9" width="8" customWidth="1"/>
    <col min="10" max="10" width="11" customWidth="1"/>
    <col min="11" max="11" width="10" customWidth="1"/>
    <col min="12" max="12" width="13" customWidth="1"/>
    <col min="13" max="14" width="10" customWidth="1"/>
    <col min="15" max="15" width="12" customWidth="1"/>
    <col min="16" max="16" width="14" customWidth="1"/>
    <col min="17" max="17" width="58" customWidth="1"/>
  </cols>
  <sheetData>
    <row r="1" spans="1:17" ht="17.25" customHeight="1" x14ac:dyDescent="0.3">
      <c r="A1" s="1" t="s">
        <v>38</v>
      </c>
    </row>
    <row r="2" spans="1:17" ht="15" customHeight="1" x14ac:dyDescent="0.3">
      <c r="A2" s="2" t="s">
        <v>39</v>
      </c>
    </row>
    <row r="4" spans="1:17" ht="66" customHeight="1" x14ac:dyDescent="0.3">
      <c r="A4" s="9" t="s">
        <v>40</v>
      </c>
      <c r="B4" s="9" t="s">
        <v>41</v>
      </c>
      <c r="C4" s="9" t="s">
        <v>42</v>
      </c>
      <c r="D4" s="9" t="s">
        <v>43</v>
      </c>
      <c r="E4" s="9" t="s">
        <v>44</v>
      </c>
      <c r="F4" s="9" t="s">
        <v>45</v>
      </c>
      <c r="G4" s="9" t="s">
        <v>46</v>
      </c>
      <c r="H4" s="9" t="s">
        <v>47</v>
      </c>
      <c r="I4" s="9" t="s">
        <v>48</v>
      </c>
      <c r="J4" s="9" t="s">
        <v>49</v>
      </c>
      <c r="K4" s="9" t="s">
        <v>50</v>
      </c>
      <c r="L4" s="9" t="s">
        <v>51</v>
      </c>
      <c r="M4" s="9" t="s">
        <v>52</v>
      </c>
      <c r="N4" s="9" t="s">
        <v>53</v>
      </c>
      <c r="O4" s="9" t="s">
        <v>54</v>
      </c>
      <c r="P4" s="9" t="s">
        <v>55</v>
      </c>
      <c r="Q4" s="9" t="s">
        <v>56</v>
      </c>
    </row>
    <row r="5" spans="1:17" ht="57.6" x14ac:dyDescent="0.3">
      <c r="A5" s="10">
        <v>1</v>
      </c>
      <c r="B5" s="7" t="s">
        <v>189</v>
      </c>
      <c r="C5" s="7" t="s">
        <v>190</v>
      </c>
      <c r="D5" s="7" t="s">
        <v>191</v>
      </c>
      <c r="E5" s="7" t="s">
        <v>192</v>
      </c>
      <c r="F5" s="7">
        <v>4</v>
      </c>
      <c r="G5" s="7">
        <v>4</v>
      </c>
      <c r="H5" s="7">
        <v>0.8</v>
      </c>
      <c r="I5" s="7">
        <v>3</v>
      </c>
      <c r="J5" s="7">
        <v>0.9</v>
      </c>
      <c r="K5" s="7">
        <v>0.9</v>
      </c>
      <c r="L5" s="7">
        <v>0.6</v>
      </c>
      <c r="M5" s="11">
        <f t="shared" ref="M5:M14" si="0">IF(COUNT(F5:L5)&lt;7,"",ROUND(F5*G5*H5/I5*(0.5+0.5*AVERAGE(J5:K5))*(1-0.5*L5),2))</f>
        <v>2.84</v>
      </c>
      <c r="N5" s="11">
        <f t="shared" ref="N5:N14" si="1">IF(M5="","",RANK(M5,$M$5:$M$14))</f>
        <v>4</v>
      </c>
      <c r="O5" s="12" t="str">
        <f>IF(B5="","",IF(OR(D5="",E5=""),"Thiếu",IF(SUMPRODUCT(--ISNUMBER(SEARCH({"0","1","2","3","4","5","6","7","8","9"},E5)))&gt;0,"Có","Thiếu")))</f>
        <v>Có</v>
      </c>
      <c r="P5" s="13" t="s">
        <v>193</v>
      </c>
      <c r="Q5" s="31" t="s">
        <v>194</v>
      </c>
    </row>
    <row r="6" spans="1:17" ht="57.6" x14ac:dyDescent="0.3">
      <c r="A6" s="10">
        <v>2</v>
      </c>
      <c r="B6" s="7" t="s">
        <v>195</v>
      </c>
      <c r="C6" s="7" t="s">
        <v>196</v>
      </c>
      <c r="D6" s="7" t="s">
        <v>197</v>
      </c>
      <c r="E6" s="7" t="s">
        <v>198</v>
      </c>
      <c r="F6" s="7">
        <v>5</v>
      </c>
      <c r="G6" s="7">
        <v>5</v>
      </c>
      <c r="H6" s="7">
        <v>0.8</v>
      </c>
      <c r="I6" s="7">
        <v>2</v>
      </c>
      <c r="J6" s="7">
        <v>0.9</v>
      </c>
      <c r="K6" s="7">
        <v>0.9</v>
      </c>
      <c r="L6" s="7">
        <v>0.2</v>
      </c>
      <c r="M6" s="11">
        <f t="shared" si="0"/>
        <v>8.5500000000000007</v>
      </c>
      <c r="N6" s="11">
        <f t="shared" si="1"/>
        <v>2</v>
      </c>
      <c r="O6" s="12" t="str">
        <f>IF(B6="","",IF(OR(D6="",E6=""),"Thiếu",IF(SUMPRODUCT(--ISNUMBER(SEARCH({"0","1","2","3","4","5","6","7","8","9"},E6)))&gt;0,"Có","Thiếu")))</f>
        <v>Có</v>
      </c>
      <c r="P6" s="13" t="s">
        <v>193</v>
      </c>
      <c r="Q6" s="31" t="s">
        <v>199</v>
      </c>
    </row>
    <row r="7" spans="1:17" ht="57.6" x14ac:dyDescent="0.3">
      <c r="A7" s="10">
        <v>3</v>
      </c>
      <c r="B7" s="7" t="s">
        <v>200</v>
      </c>
      <c r="C7" s="7" t="s">
        <v>201</v>
      </c>
      <c r="D7" s="7" t="s">
        <v>202</v>
      </c>
      <c r="E7" s="7" t="s">
        <v>203</v>
      </c>
      <c r="F7" s="7">
        <v>5</v>
      </c>
      <c r="G7" s="7">
        <v>4</v>
      </c>
      <c r="H7" s="7">
        <v>1</v>
      </c>
      <c r="I7" s="7">
        <v>1</v>
      </c>
      <c r="J7" s="7">
        <v>1</v>
      </c>
      <c r="K7" s="7">
        <v>0.9</v>
      </c>
      <c r="L7" s="7">
        <v>1</v>
      </c>
      <c r="M7" s="11">
        <f t="shared" si="0"/>
        <v>9.75</v>
      </c>
      <c r="N7" s="11">
        <f t="shared" si="1"/>
        <v>1</v>
      </c>
      <c r="O7" s="12" t="str">
        <f>IF(B7="","",IF(OR(D7="",E7=""),"Thiếu",IF(SUMPRODUCT(--ISNUMBER(SEARCH({"0","1","2","3","4","5","6","7","8","9"},E7)))&gt;0,"Có","Thiếu")))</f>
        <v>Có</v>
      </c>
      <c r="P7" s="13" t="s">
        <v>204</v>
      </c>
      <c r="Q7" s="31" t="s">
        <v>205</v>
      </c>
    </row>
    <row r="8" spans="1:17" ht="57.6" x14ac:dyDescent="0.3">
      <c r="A8" s="10">
        <v>4</v>
      </c>
      <c r="B8" s="7" t="s">
        <v>206</v>
      </c>
      <c r="C8" s="7" t="s">
        <v>207</v>
      </c>
      <c r="D8" s="7" t="s">
        <v>208</v>
      </c>
      <c r="E8" s="7" t="s">
        <v>209</v>
      </c>
      <c r="F8" s="7">
        <v>5</v>
      </c>
      <c r="G8" s="7">
        <v>5</v>
      </c>
      <c r="H8" s="7">
        <v>0.8</v>
      </c>
      <c r="I8" s="7">
        <v>2</v>
      </c>
      <c r="J8" s="7">
        <v>0.9</v>
      </c>
      <c r="K8" s="7">
        <v>0.8</v>
      </c>
      <c r="L8" s="7">
        <v>0.4</v>
      </c>
      <c r="M8" s="11">
        <f t="shared" si="0"/>
        <v>7.4</v>
      </c>
      <c r="N8" s="11">
        <f t="shared" si="1"/>
        <v>3</v>
      </c>
      <c r="O8" s="12" t="str">
        <f>IF(B8="","",IF(OR(D8="",E8=""),"Thiếu",IF(SUMPRODUCT(--ISNUMBER(SEARCH({"0","1","2","3","4","5","6","7","8","9"},E8)))&gt;0,"Có","Thiếu")))</f>
        <v>Có</v>
      </c>
      <c r="P8" s="13" t="s">
        <v>204</v>
      </c>
      <c r="Q8" s="31" t="s">
        <v>210</v>
      </c>
    </row>
    <row r="9" spans="1:17" ht="72" x14ac:dyDescent="0.3">
      <c r="A9" s="10">
        <v>5</v>
      </c>
      <c r="B9" s="7" t="s">
        <v>211</v>
      </c>
      <c r="C9" s="7" t="s">
        <v>212</v>
      </c>
      <c r="D9" s="7" t="s">
        <v>213</v>
      </c>
      <c r="E9" s="7" t="s">
        <v>214</v>
      </c>
      <c r="F9" s="7">
        <v>3</v>
      </c>
      <c r="G9" s="7">
        <v>4</v>
      </c>
      <c r="H9" s="7">
        <v>0.5</v>
      </c>
      <c r="I9" s="7">
        <v>4</v>
      </c>
      <c r="J9" s="7">
        <v>0</v>
      </c>
      <c r="K9" s="7">
        <v>0.1</v>
      </c>
      <c r="L9" s="7">
        <v>0.4</v>
      </c>
      <c r="M9" s="11">
        <f t="shared" si="0"/>
        <v>0.63</v>
      </c>
      <c r="N9" s="11">
        <f t="shared" si="1"/>
        <v>5</v>
      </c>
      <c r="O9" s="12" t="str">
        <f>IF(B9="","",IF(OR(D9="",E9=""),"Thiếu",IF(SUMPRODUCT(--ISNUMBER(SEARCH({"0","1","2","3","4","5","6","7","8","9"},E9)))&gt;0,"Có","Thiếu")))</f>
        <v>Có</v>
      </c>
      <c r="P9" s="13" t="s">
        <v>215</v>
      </c>
      <c r="Q9" s="31" t="s">
        <v>216</v>
      </c>
    </row>
    <row r="10" spans="1:17" ht="72" x14ac:dyDescent="0.3">
      <c r="A10" s="10">
        <v>6</v>
      </c>
      <c r="B10" s="7" t="s">
        <v>217</v>
      </c>
      <c r="C10" s="7" t="s">
        <v>218</v>
      </c>
      <c r="D10" s="7" t="s">
        <v>219</v>
      </c>
      <c r="E10" s="7" t="s">
        <v>220</v>
      </c>
      <c r="F10" s="7">
        <v>3</v>
      </c>
      <c r="G10" s="7">
        <v>2</v>
      </c>
      <c r="H10" s="7">
        <v>0.5</v>
      </c>
      <c r="I10" s="7">
        <v>3</v>
      </c>
      <c r="J10" s="7">
        <v>0.4</v>
      </c>
      <c r="K10" s="7">
        <v>0.2</v>
      </c>
      <c r="L10" s="7">
        <v>0.95</v>
      </c>
      <c r="M10" s="11">
        <f t="shared" si="0"/>
        <v>0.34</v>
      </c>
      <c r="N10" s="11">
        <f t="shared" si="1"/>
        <v>6</v>
      </c>
      <c r="O10" s="12" t="str">
        <f>IF(B10="","",IF(OR(D10="",E10=""),"Thiếu",IF(SUMPRODUCT(--ISNUMBER(SEARCH({"0","1","2","3","4","5","6","7","8","9"},E10)))&gt;0,"Có","Thiếu")))</f>
        <v>Có</v>
      </c>
      <c r="P10" s="13" t="s">
        <v>221</v>
      </c>
      <c r="Q10" s="31" t="s">
        <v>222</v>
      </c>
    </row>
    <row r="11" spans="1:17" ht="15" customHeight="1" x14ac:dyDescent="0.3">
      <c r="A11" s="10">
        <v>7</v>
      </c>
      <c r="B11" s="7"/>
      <c r="C11" s="7"/>
      <c r="D11" s="7"/>
      <c r="E11" s="7"/>
      <c r="F11" s="7"/>
      <c r="G11" s="7"/>
      <c r="H11" s="7"/>
      <c r="I11" s="7"/>
      <c r="J11" s="7"/>
      <c r="K11" s="7"/>
      <c r="L11" s="7"/>
      <c r="M11" s="11" t="str">
        <f t="shared" si="0"/>
        <v/>
      </c>
      <c r="N11" s="11" t="str">
        <f t="shared" si="1"/>
        <v/>
      </c>
      <c r="O11" s="12" t="str">
        <f>IF(B11="","",IF(OR(D11="",E11=""),"Thiếu",IF(SUMPRODUCT(--ISNUMBER(SEARCH({"0","1","2","3","4","5","6","7","8","9"},E11)))&gt;0,"Có","Thiếu")))</f>
        <v/>
      </c>
      <c r="P11" s="13"/>
      <c r="Q11" s="13"/>
    </row>
    <row r="12" spans="1:17" ht="15" customHeight="1" x14ac:dyDescent="0.3">
      <c r="A12" s="10">
        <v>8</v>
      </c>
      <c r="B12" s="7"/>
      <c r="C12" s="7"/>
      <c r="D12" s="7"/>
      <c r="E12" s="7"/>
      <c r="F12" s="7"/>
      <c r="G12" s="7"/>
      <c r="H12" s="7"/>
      <c r="I12" s="7"/>
      <c r="J12" s="7"/>
      <c r="K12" s="7"/>
      <c r="L12" s="7"/>
      <c r="M12" s="11" t="str">
        <f t="shared" si="0"/>
        <v/>
      </c>
      <c r="N12" s="11" t="str">
        <f t="shared" si="1"/>
        <v/>
      </c>
      <c r="O12" s="12" t="str">
        <f>IF(B12="","",IF(OR(D12="",E12=""),"Thiếu",IF(SUMPRODUCT(--ISNUMBER(SEARCH({"0","1","2","3","4","5","6","7","8","9"},E12)))&gt;0,"Có","Thiếu")))</f>
        <v/>
      </c>
      <c r="P12" s="13"/>
      <c r="Q12" s="13"/>
    </row>
    <row r="13" spans="1:17" ht="15" customHeight="1" x14ac:dyDescent="0.3">
      <c r="A13" s="10">
        <v>9</v>
      </c>
      <c r="B13" s="7"/>
      <c r="C13" s="7"/>
      <c r="D13" s="7"/>
      <c r="E13" s="7"/>
      <c r="F13" s="7"/>
      <c r="G13" s="7"/>
      <c r="H13" s="7"/>
      <c r="I13" s="7"/>
      <c r="J13" s="7"/>
      <c r="K13" s="7"/>
      <c r="L13" s="7"/>
      <c r="M13" s="11" t="str">
        <f t="shared" si="0"/>
        <v/>
      </c>
      <c r="N13" s="11" t="str">
        <f t="shared" si="1"/>
        <v/>
      </c>
      <c r="O13" s="12" t="str">
        <f>IF(B13="","",IF(OR(D13="",E13=""),"Thiếu",IF(SUMPRODUCT(--ISNUMBER(SEARCH({"0","1","2","3","4","5","6","7","8","9"},E13)))&gt;0,"Có","Thiếu")))</f>
        <v/>
      </c>
      <c r="P13" s="13"/>
      <c r="Q13" s="13"/>
    </row>
    <row r="14" spans="1:17" ht="15" customHeight="1" x14ac:dyDescent="0.3">
      <c r="A14" s="10">
        <v>10</v>
      </c>
      <c r="B14" s="7"/>
      <c r="C14" s="7"/>
      <c r="D14" s="7"/>
      <c r="E14" s="7"/>
      <c r="F14" s="7"/>
      <c r="G14" s="7"/>
      <c r="H14" s="7"/>
      <c r="I14" s="7"/>
      <c r="J14" s="7"/>
      <c r="K14" s="7"/>
      <c r="L14" s="7"/>
      <c r="M14" s="11" t="str">
        <f t="shared" si="0"/>
        <v/>
      </c>
      <c r="N14" s="11" t="str">
        <f t="shared" si="1"/>
        <v/>
      </c>
      <c r="O14" s="12" t="str">
        <f>IF(B14="","",IF(OR(D14="",E14=""),"Thiếu",IF(SUMPRODUCT(--ISNUMBER(SEARCH({"0","1","2","3","4","5","6","7","8","9"},E14)))&gt;0,"Có","Thiếu")))</f>
        <v/>
      </c>
      <c r="P14" s="13"/>
      <c r="Q14" s="13"/>
    </row>
  </sheetData>
  <sheetProtection sheet="true" formatColumns="false" formatRows="false"/>
  <dataValidations count="4">
    <dataValidation allowBlank="true" error="Nhập số nguyên từ 1 đến 5." errorStyle="stop" errorTitle="Ngoài thang điểm" operator="between" showDropDown="false" showErrorMessage="true" showInputMessage="false" sqref="F5:G14 I5:I14" type="whole">
      <formula1>1</formula1>
      <formula2>5</formula2>
    </dataValidation>
    <dataValidation allowBlank="true" error="Dùng 0,5 (đoán), 0,8 (có dấu hiệu) hoặc 1 (có số liệu)." errorStyle="stop" errorTitle="Mức tự tin" operator="between" showDropDown="false" showErrorMessage="true" showInputMessage="false" sqref="H5:H14" type="decimal">
      <formula1>0.5</formula1>
      <formula2>1</formula2>
    </dataValidation>
    <dataValidation allowBlank="true" error="Nhập số từ 0 đến 1, ví dụ 0,6." errorStyle="stop" errorTitle="Ngoài thang 0–1" operator="between" showDropDown="false" showErrorMessage="true" showInputMessage="false" sqref="J5:L14" type="decimal">
      <formula1>0</formula1>
      <formula2>1</formula2>
    </dataValidation>
    <dataValidation allowBlank="true" errorStyle="stop" operator="between" showDropDown="false" showErrorMessage="false" showInputMessage="false" sqref="P5:P14" type="list">
      <formula1>"Tự làm,Mua,Chờ,Không làm"</formula1>
      <formula2>0</formula2>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23"/>
  <sheetViews>
    <sheetView workbookViewId="0"/>
  </sheetViews>
  <sheetFormatPr defaultColWidth="8.6640625" defaultRowHeight="14.4" x14ac:dyDescent="0.3"/>
  <cols>
    <col min="1" max="1" width="6" customWidth="1"/>
    <col min="2" max="2" width="20" customWidth="1"/>
    <col min="3" max="3" width="34" customWidth="1"/>
    <col min="4" max="4" width="30" customWidth="1"/>
    <col min="5" max="5" width="44" customWidth="1"/>
    <col min="6" max="6" width="36" customWidth="1"/>
    <col min="7" max="7" width="22" customWidth="1"/>
    <col min="8" max="8" width="12" customWidth="1"/>
    <col min="9" max="9" width="18" customWidth="1"/>
    <col min="10" max="10" width="14" customWidth="1"/>
    <col min="11" max="11" width="12" customWidth="1"/>
    <col min="12" max="12" width="13" customWidth="1"/>
    <col min="13" max="13" width="11" customWidth="1"/>
  </cols>
  <sheetData>
    <row r="1" spans="1:13" ht="17.25" customHeight="1" x14ac:dyDescent="0.3">
      <c r="A1" s="1" t="s">
        <v>57</v>
      </c>
    </row>
    <row r="2" spans="1:13" ht="15" customHeight="1" x14ac:dyDescent="0.3">
      <c r="A2" s="2" t="s">
        <v>58</v>
      </c>
    </row>
    <row r="4" spans="1:13" ht="64.95" customHeight="1" x14ac:dyDescent="0.3">
      <c r="A4" s="9" t="s">
        <v>59</v>
      </c>
      <c r="B4" s="9" t="s">
        <v>60</v>
      </c>
      <c r="C4" s="9" t="s">
        <v>61</v>
      </c>
      <c r="D4" s="9" t="s">
        <v>62</v>
      </c>
      <c r="E4" s="9" t="s">
        <v>63</v>
      </c>
      <c r="F4" s="9" t="s">
        <v>64</v>
      </c>
      <c r="G4" s="9" t="s">
        <v>65</v>
      </c>
      <c r="H4" s="9" t="s">
        <v>66</v>
      </c>
      <c r="I4" s="9" t="s">
        <v>67</v>
      </c>
      <c r="J4" s="9" t="s">
        <v>68</v>
      </c>
      <c r="K4" s="9" t="s">
        <v>69</v>
      </c>
      <c r="L4" s="9" t="s">
        <v>70</v>
      </c>
      <c r="M4" s="9" t="s">
        <v>71</v>
      </c>
    </row>
    <row r="5" spans="1:13" ht="28.8" x14ac:dyDescent="0.3">
      <c r="A5" s="10">
        <v>0</v>
      </c>
      <c r="B5" s="7" t="s">
        <v>72</v>
      </c>
      <c r="C5" s="7" t="s">
        <v>223</v>
      </c>
      <c r="D5" s="7" t="s">
        <v>224</v>
      </c>
      <c r="E5" s="7" t="s">
        <v>225</v>
      </c>
      <c r="F5" s="7" t="s">
        <v>226</v>
      </c>
      <c r="G5" s="7" t="s">
        <v>227</v>
      </c>
      <c r="H5" s="14">
        <v>1</v>
      </c>
      <c r="I5" s="13" t="s">
        <v>228</v>
      </c>
      <c r="J5" s="15">
        <f>IF(H5="","",$B$12+$B$13+IF(I5="Người của mình",H5*$B$14*$B$15/60,0))</f>
        <v>1704</v>
      </c>
      <c r="K5" s="16">
        <f>IF(J5="","",IFERROR(($B$16-$B$17*J5)/$B$16,""))</f>
        <v>0.24457430730478588</v>
      </c>
      <c r="L5" s="17" t="str">
        <f>IF(K5="","",IF(K5&gt;=0.6,"Đạt","Dưới ngưỡng"))</f>
        <v>Dưới ngưỡng</v>
      </c>
    </row>
    <row r="6" spans="1:13" ht="115.2" x14ac:dyDescent="0.3">
      <c r="A6" s="10">
        <v>1</v>
      </c>
      <c r="B6" s="7" t="s">
        <v>73</v>
      </c>
      <c r="C6" s="7" t="s">
        <v>229</v>
      </c>
      <c r="D6" s="7" t="s">
        <v>230</v>
      </c>
      <c r="E6" s="7" t="s">
        <v>266</v>
      </c>
      <c r="F6" s="7" t="s">
        <v>267</v>
      </c>
      <c r="G6" s="7" t="s">
        <v>231</v>
      </c>
      <c r="H6" s="14">
        <v>0.2</v>
      </c>
      <c r="I6" s="13" t="s">
        <v>228</v>
      </c>
      <c r="J6" s="15">
        <f>IF(H6="","",$B$12+$B$13+IF(I6="Người của mình",H6*$B$14*$B$15/60,0))</f>
        <v>704</v>
      </c>
      <c r="K6" s="16">
        <f>IF(J6="","",IFERROR(($B$16-$B$17*J6)/$B$16,""))</f>
        <v>0.68789924433249372</v>
      </c>
      <c r="L6" s="17" t="str">
        <f>IF(K6="","",IF(K6&gt;=0.6,"Đạt","Dưới ngưỡng"))</f>
        <v>Đạt</v>
      </c>
      <c r="M6" s="17" t="str">
        <f>IF(E6="","",IF(SUMPRODUCT(--ISNUMBER(SEARCH({"0","1","2","3","4","5","6","7","8","9"},E6)))&gt;0,"Có","Thiếu"))</f>
        <v>Có</v>
      </c>
    </row>
    <row r="7" spans="1:13" ht="86.4" x14ac:dyDescent="0.3">
      <c r="A7" s="10">
        <v>2</v>
      </c>
      <c r="B7" s="7" t="s">
        <v>74</v>
      </c>
      <c r="C7" s="7" t="s">
        <v>232</v>
      </c>
      <c r="D7" s="7" t="s">
        <v>233</v>
      </c>
      <c r="E7" s="7" t="s">
        <v>268</v>
      </c>
      <c r="F7" s="7" t="s">
        <v>234</v>
      </c>
      <c r="G7" s="7" t="s">
        <v>235</v>
      </c>
      <c r="H7" s="14">
        <v>0.1</v>
      </c>
      <c r="I7" s="13" t="s">
        <v>228</v>
      </c>
      <c r="J7" s="15">
        <f>IF(H7="","",$B$12+$B$13+IF(I7="Người của mình",H7*$B$14*$B$15/60,0))</f>
        <v>579</v>
      </c>
      <c r="K7" s="16">
        <f>IF(J7="","",IFERROR(($B$16-$B$17*J7)/$B$16,""))</f>
        <v>0.74331486146095715</v>
      </c>
      <c r="L7" s="17" t="str">
        <f>IF(K7="","",IF(K7&gt;=0.6,"Đạt","Dưới ngưỡng"))</f>
        <v>Đạt</v>
      </c>
      <c r="M7" s="17" t="str">
        <f>IF(E7="","",IF(SUMPRODUCT(--ISNUMBER(SEARCH({"0","1","2","3","4","5","6","7","8","9"},E7)))&gt;0,"Có","Thiếu"))</f>
        <v>Có</v>
      </c>
    </row>
    <row r="8" spans="1:13" ht="100.8" x14ac:dyDescent="0.3">
      <c r="A8" s="10">
        <v>3</v>
      </c>
      <c r="B8" s="7" t="s">
        <v>75</v>
      </c>
      <c r="C8" s="7" t="s">
        <v>236</v>
      </c>
      <c r="D8" s="7" t="s">
        <v>237</v>
      </c>
      <c r="E8" s="7" t="s">
        <v>238</v>
      </c>
      <c r="F8" s="7" t="s">
        <v>269</v>
      </c>
      <c r="G8" s="7" t="s">
        <v>239</v>
      </c>
      <c r="H8" s="14">
        <v>0.05</v>
      </c>
      <c r="I8" s="13" t="s">
        <v>228</v>
      </c>
      <c r="J8" s="15">
        <f>IF(H8="","",$B$12+$B$13+IF(I8="Người của mình",H8*$B$14*$B$15/60,0))</f>
        <v>516.5</v>
      </c>
      <c r="K8" s="16">
        <f>IF(J8="","",IFERROR(($B$16-$B$17*J8)/$B$16,""))</f>
        <v>0.77102267002518887</v>
      </c>
      <c r="L8" s="17" t="str">
        <f>IF(K8="","",IF(K8&gt;=0.6,"Đạt","Dưới ngưỡng"))</f>
        <v>Đạt</v>
      </c>
      <c r="M8" s="17" t="str">
        <f>IF(E8="","",IF(SUMPRODUCT(--ISNUMBER(SEARCH({"0","1","2","3","4","5","6","7","8","9"},E8)))&gt;0,"Có","Thiếu"))</f>
        <v>Có</v>
      </c>
    </row>
    <row r="11" spans="1:13" ht="15" customHeight="1" x14ac:dyDescent="0.3">
      <c r="A11" s="8" t="s">
        <v>76</v>
      </c>
    </row>
    <row r="12" spans="1:13" ht="15" customHeight="1" x14ac:dyDescent="0.3">
      <c r="A12" s="18" t="s">
        <v>77</v>
      </c>
      <c r="B12" s="19">
        <v>254</v>
      </c>
      <c r="C12" s="20" t="s">
        <v>78</v>
      </c>
    </row>
    <row r="13" spans="1:13" ht="15" customHeight="1" x14ac:dyDescent="0.3">
      <c r="A13" s="18" t="s">
        <v>79</v>
      </c>
      <c r="B13" s="19">
        <v>200</v>
      </c>
      <c r="C13" s="20" t="s">
        <v>80</v>
      </c>
    </row>
    <row r="14" spans="1:13" ht="15" customHeight="1" x14ac:dyDescent="0.3">
      <c r="A14" s="18" t="s">
        <v>81</v>
      </c>
      <c r="B14" s="21">
        <v>1.5</v>
      </c>
      <c r="C14" s="20" t="s">
        <v>82</v>
      </c>
    </row>
    <row r="15" spans="1:13" ht="15" customHeight="1" x14ac:dyDescent="0.3">
      <c r="A15" s="18" t="s">
        <v>83</v>
      </c>
      <c r="B15" s="19">
        <v>50000</v>
      </c>
      <c r="C15" s="20" t="s">
        <v>84</v>
      </c>
    </row>
    <row r="16" spans="1:13" ht="15" customHeight="1" x14ac:dyDescent="0.3">
      <c r="A16" s="18" t="s">
        <v>85</v>
      </c>
      <c r="B16" s="19">
        <v>3970000</v>
      </c>
      <c r="C16" s="20" t="s">
        <v>86</v>
      </c>
    </row>
    <row r="17" spans="1:3" ht="15" customHeight="1" x14ac:dyDescent="0.3">
      <c r="A17" s="18" t="s">
        <v>87</v>
      </c>
      <c r="B17" s="19">
        <v>1760</v>
      </c>
      <c r="C17" s="20" t="s">
        <v>88</v>
      </c>
    </row>
    <row r="18" spans="1:3" x14ac:dyDescent="0.3">
      <c r="A18" s="18" t="s">
        <v>89</v>
      </c>
      <c r="B18" s="13" t="s">
        <v>90</v>
      </c>
      <c r="C18" s="20" t="s">
        <v>91</v>
      </c>
    </row>
    <row r="19" spans="1:3" x14ac:dyDescent="0.3">
      <c r="A19" s="18" t="s">
        <v>92</v>
      </c>
      <c r="B19" s="13" t="s">
        <v>93</v>
      </c>
      <c r="C19" s="20" t="s">
        <v>94</v>
      </c>
    </row>
    <row r="20" spans="1:3" ht="15" customHeight="1" x14ac:dyDescent="0.3">
      <c r="A20" s="18" t="s">
        <v>95</v>
      </c>
      <c r="B20" s="22">
        <v>7</v>
      </c>
      <c r="C20" s="20" t="s">
        <v>96</v>
      </c>
    </row>
    <row r="22" spans="1:3" ht="15" customHeight="1" x14ac:dyDescent="0.3">
      <c r="A22" s="20" t="s">
        <v>97</v>
      </c>
    </row>
    <row r="23" spans="1:3" ht="15" customHeight="1" x14ac:dyDescent="0.3">
      <c r="A23" s="20"/>
    </row>
  </sheetData>
  <sheetProtection sheet="true" formatColumns="false" formatRows="false"/>
  <dataValidations count="2">
    <dataValidation allowBlank="true" errorStyle="stop" operator="between" showDropDown="false" showErrorMessage="false" showInputMessage="false" sqref="I5:I8" type="list">
      <formula1>"Người của mình,Nhân viên cửa hàng"</formula1>
      <formula2>0</formula2>
    </dataValidation>
    <dataValidation allowBlank="true" errorStyle="stop" operator="between" showDropDown="false" showErrorMessage="false" showInputMessage="false" sqref="H5:H8" type="decimal">
      <formula1>0</formula1>
      <formula2>1</formula2>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2"/>
  <sheetViews>
    <sheetView workbookViewId="0"/>
  </sheetViews>
  <sheetFormatPr defaultColWidth="8.6640625" defaultRowHeight="14.4" x14ac:dyDescent="0.3"/>
  <cols>
    <col min="1" max="1" width="30" customWidth="1"/>
    <col min="2" max="4" width="42" customWidth="1"/>
  </cols>
  <sheetData>
    <row r="1" spans="1:4" ht="17.25" customHeight="1" x14ac:dyDescent="0.3">
      <c r="A1" s="1" t="s">
        <v>98</v>
      </c>
    </row>
    <row r="2" spans="1:4" ht="15" customHeight="1" x14ac:dyDescent="0.3">
      <c r="A2" s="2" t="s">
        <v>99</v>
      </c>
    </row>
    <row r="4" spans="1:4" ht="15" customHeight="1" x14ac:dyDescent="0.3">
      <c r="A4" s="9" t="s">
        <v>100</v>
      </c>
      <c r="B4" s="9" t="s">
        <v>101</v>
      </c>
      <c r="C4" s="9" t="s">
        <v>102</v>
      </c>
      <c r="D4" s="9" t="s">
        <v>103</v>
      </c>
    </row>
    <row r="5" spans="1:4" ht="57.6" x14ac:dyDescent="0.3">
      <c r="A5" s="23" t="s">
        <v>104</v>
      </c>
      <c r="B5" s="7" t="s">
        <v>270</v>
      </c>
      <c r="C5" s="7" t="s">
        <v>240</v>
      </c>
      <c r="D5" s="7" t="s">
        <v>241</v>
      </c>
    </row>
    <row r="6" spans="1:4" ht="43.2" x14ac:dyDescent="0.3">
      <c r="A6" s="23" t="s">
        <v>105</v>
      </c>
      <c r="B6" s="7" t="s">
        <v>242</v>
      </c>
      <c r="C6" s="7" t="s">
        <v>243</v>
      </c>
      <c r="D6" s="7" t="s">
        <v>244</v>
      </c>
    </row>
    <row r="7" spans="1:4" ht="43.2" x14ac:dyDescent="0.3">
      <c r="A7" s="23" t="s">
        <v>44</v>
      </c>
      <c r="B7" s="7" t="s">
        <v>245</v>
      </c>
      <c r="C7" s="7" t="s">
        <v>246</v>
      </c>
      <c r="D7" s="7" t="s">
        <v>247</v>
      </c>
    </row>
    <row r="8" spans="1:4" ht="72" x14ac:dyDescent="0.3">
      <c r="A8" s="23" t="s">
        <v>106</v>
      </c>
      <c r="B8" s="7" t="s">
        <v>271</v>
      </c>
      <c r="C8" s="7" t="s">
        <v>248</v>
      </c>
      <c r="D8" s="7" t="s">
        <v>249</v>
      </c>
    </row>
    <row r="9" spans="1:4" ht="86.4" x14ac:dyDescent="0.3">
      <c r="A9" s="23" t="s">
        <v>107</v>
      </c>
      <c r="B9" s="7" t="s">
        <v>250</v>
      </c>
      <c r="C9" s="7" t="s">
        <v>272</v>
      </c>
      <c r="D9" s="7" t="s">
        <v>273</v>
      </c>
    </row>
    <row r="10" spans="1:4" ht="86.4" x14ac:dyDescent="0.3">
      <c r="A10" s="23" t="s">
        <v>108</v>
      </c>
      <c r="B10" s="7" t="s">
        <v>274</v>
      </c>
      <c r="C10" s="7" t="s">
        <v>251</v>
      </c>
      <c r="D10" s="7" t="s">
        <v>252</v>
      </c>
    </row>
    <row r="11" spans="1:4" ht="100.8" x14ac:dyDescent="0.3">
      <c r="A11" s="23" t="s">
        <v>109</v>
      </c>
      <c r="B11" s="7" t="s">
        <v>275</v>
      </c>
      <c r="C11" s="7" t="s">
        <v>276</v>
      </c>
      <c r="D11" s="7" t="s">
        <v>253</v>
      </c>
    </row>
    <row r="12" spans="1:4" ht="115.2" x14ac:dyDescent="0.3">
      <c r="A12" s="23" t="s">
        <v>110</v>
      </c>
      <c r="B12" s="7" t="s">
        <v>277</v>
      </c>
      <c r="C12" s="7" t="s">
        <v>278</v>
      </c>
      <c r="D12" s="7" t="s">
        <v>279</v>
      </c>
    </row>
  </sheetData>
  <sheetProtection sheet="true" formatColumns="false" formatRows="fals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2"/>
  <sheetViews>
    <sheetView workbookViewId="0"/>
  </sheetViews>
  <sheetFormatPr defaultColWidth="8.6640625" defaultRowHeight="14.4" x14ac:dyDescent="0.3"/>
  <cols>
    <col min="1" max="1" width="34" customWidth="1"/>
    <col min="2" max="3" width="40" customWidth="1"/>
    <col min="4" max="4" width="28" customWidth="1"/>
  </cols>
  <sheetData>
    <row r="1" spans="1:4" ht="17.25" customHeight="1" x14ac:dyDescent="0.3">
      <c r="A1" s="1" t="s">
        <v>111</v>
      </c>
    </row>
    <row r="2" spans="1:4" ht="15" customHeight="1" x14ac:dyDescent="0.3">
      <c r="A2" s="2" t="s">
        <v>112</v>
      </c>
    </row>
    <row r="4" spans="1:4" ht="15" customHeight="1" x14ac:dyDescent="0.3">
      <c r="A4" s="9" t="s">
        <v>113</v>
      </c>
      <c r="B4" s="9" t="s">
        <v>114</v>
      </c>
      <c r="C4" s="9" t="s">
        <v>115</v>
      </c>
      <c r="D4" s="9" t="s">
        <v>116</v>
      </c>
    </row>
    <row r="5" spans="1:4" ht="86.4" x14ac:dyDescent="0.3">
      <c r="A5" s="7" t="s">
        <v>117</v>
      </c>
      <c r="B5" s="7" t="s">
        <v>280</v>
      </c>
      <c r="C5" s="7" t="s">
        <v>281</v>
      </c>
      <c r="D5" s="7" t="s">
        <v>254</v>
      </c>
    </row>
    <row r="6" spans="1:4" ht="72" x14ac:dyDescent="0.3">
      <c r="A6" s="7" t="s">
        <v>118</v>
      </c>
      <c r="B6" s="7" t="s">
        <v>289</v>
      </c>
      <c r="C6" s="7" t="s">
        <v>290</v>
      </c>
      <c r="D6" s="7" t="s">
        <v>255</v>
      </c>
    </row>
    <row r="7" spans="1:4" ht="72" x14ac:dyDescent="0.3">
      <c r="A7" s="7" t="s">
        <v>119</v>
      </c>
      <c r="B7" s="7" t="s">
        <v>282</v>
      </c>
      <c r="C7" s="7" t="s">
        <v>256</v>
      </c>
      <c r="D7" s="7" t="s">
        <v>257</v>
      </c>
    </row>
    <row r="8" spans="1:4" ht="72" x14ac:dyDescent="0.3">
      <c r="A8" s="7" t="s">
        <v>120</v>
      </c>
      <c r="B8" s="7" t="s">
        <v>258</v>
      </c>
      <c r="C8" s="7" t="s">
        <v>283</v>
      </c>
      <c r="D8" s="7" t="s">
        <v>259</v>
      </c>
    </row>
    <row r="9" spans="1:4" ht="43.2" x14ac:dyDescent="0.3">
      <c r="A9" s="7" t="s">
        <v>121</v>
      </c>
      <c r="B9" s="7" t="s">
        <v>260</v>
      </c>
      <c r="C9" s="7" t="s">
        <v>261</v>
      </c>
      <c r="D9" s="7" t="s">
        <v>262</v>
      </c>
    </row>
    <row r="10" spans="1:4" ht="57.6" x14ac:dyDescent="0.3">
      <c r="A10" s="7" t="s">
        <v>122</v>
      </c>
      <c r="B10" s="7" t="s">
        <v>263</v>
      </c>
      <c r="C10" s="7" t="s">
        <v>264</v>
      </c>
      <c r="D10" s="7" t="s">
        <v>265</v>
      </c>
    </row>
    <row r="12" spans="1:4" ht="15" customHeight="1" x14ac:dyDescent="0.3">
      <c r="A12" s="20" t="s">
        <v>123</v>
      </c>
    </row>
  </sheetData>
  <sheetProtection sheet="true" formatColumns="false" formatRows="fals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8"/>
  <sheetViews>
    <sheetView workbookViewId="0"/>
  </sheetViews>
  <sheetFormatPr defaultColWidth="8.6640625" defaultRowHeight="14.4" x14ac:dyDescent="0.3"/>
  <cols>
    <col min="1" max="1" width="32" customWidth="1"/>
    <col min="2" max="2" width="90" customWidth="1"/>
    <col min="3" max="3" width="8" customWidth="1"/>
    <col min="4" max="4" width="12" customWidth="1"/>
  </cols>
  <sheetData>
    <row r="1" spans="1:4" ht="17.25" customHeight="1" x14ac:dyDescent="0.3">
      <c r="A1" s="1" t="s">
        <v>124</v>
      </c>
    </row>
    <row r="2" spans="1:4" ht="15" customHeight="1" x14ac:dyDescent="0.3">
      <c r="A2" s="2" t="s">
        <v>125</v>
      </c>
    </row>
    <row r="3" spans="1:4" ht="15" customHeight="1" x14ac:dyDescent="0.3">
      <c r="C3" s="24" t="s">
        <v>126</v>
      </c>
      <c r="D3" s="24" t="s">
        <v>127</v>
      </c>
    </row>
    <row r="4" spans="1:4" ht="28.8" x14ac:dyDescent="0.3">
      <c r="A4" s="24" t="s">
        <v>128</v>
      </c>
      <c r="B4" s="7" t="s">
        <v>284</v>
      </c>
      <c r="C4" s="25">
        <f>IF(TRIM(B4)="",0,LEN(TRIM(B4))-LEN(SUBSTITUTE(TRIM(B4)," ",""))+1)</f>
        <v>40</v>
      </c>
      <c r="D4" s="17" t="str">
        <f>IF(C4=0,"Trống",IF(C4&gt;60,"Quá 60 chữ","Đạt"))</f>
        <v>Đạt</v>
      </c>
    </row>
    <row r="5" spans="1:4" ht="28.8" x14ac:dyDescent="0.3">
      <c r="A5" s="24" t="s">
        <v>129</v>
      </c>
      <c r="B5" s="7" t="s">
        <v>285</v>
      </c>
      <c r="C5" s="25">
        <f>IF(TRIM(B5)="",0,LEN(TRIM(B5))-LEN(SUBSTITUTE(TRIM(B5)," ",""))+1)</f>
        <v>37</v>
      </c>
      <c r="D5" s="17" t="str">
        <f>IF(C5=0,"Trống",IF(C5&gt;60,"Quá 60 chữ","Đạt"))</f>
        <v>Đạt</v>
      </c>
    </row>
    <row r="6" spans="1:4" ht="43.2" x14ac:dyDescent="0.3">
      <c r="A6" s="24" t="s">
        <v>130</v>
      </c>
      <c r="B6" s="7" t="s">
        <v>286</v>
      </c>
      <c r="C6" s="25">
        <f>IF(TRIM(B6)="",0,LEN(TRIM(B6))-LEN(SUBSTITUTE(TRIM(B6)," ",""))+1)</f>
        <v>50</v>
      </c>
      <c r="D6" s="17" t="str">
        <f>IF(C6=0,"Trống",IF(C6&gt;60,"Quá 60 chữ","Đạt"))</f>
        <v>Đạt</v>
      </c>
    </row>
    <row r="7" spans="1:4" ht="43.2" x14ac:dyDescent="0.3">
      <c r="A7" s="24" t="s">
        <v>131</v>
      </c>
      <c r="B7" s="7" t="s">
        <v>287</v>
      </c>
      <c r="C7" s="25">
        <f>IF(TRIM(B7)="",0,LEN(TRIM(B7))-LEN(SUBSTITUTE(TRIM(B7)," ",""))+1)</f>
        <v>51</v>
      </c>
      <c r="D7" s="17" t="str">
        <f>IF(C7=0,"Trống",IF(C7&gt;60,"Quá 60 chữ","Đạt"))</f>
        <v>Đạt</v>
      </c>
    </row>
    <row r="8" spans="1:4" ht="43.2" x14ac:dyDescent="0.3">
      <c r="A8" s="24" t="s">
        <v>132</v>
      </c>
      <c r="B8" s="7" t="s">
        <v>288</v>
      </c>
      <c r="C8" s="25">
        <f>IF(TRIM(B8)="",0,LEN(TRIM(B8))-LEN(SUBSTITUTE(TRIM(B8)," ",""))+1)</f>
        <v>44</v>
      </c>
      <c r="D8" s="17" t="str">
        <f>IF(C8=0,"Trống",IF(C8&gt;60,"Quá 60 chữ","Đạt"))</f>
        <v>Đạt</v>
      </c>
    </row>
  </sheetData>
  <sheetProtection sheet="true" formatColumns="false" formatRows="fals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2"/>
  <sheetViews>
    <sheetView workbookViewId="0"/>
  </sheetViews>
  <sheetFormatPr defaultColWidth="8.6640625" defaultRowHeight="14.4" x14ac:dyDescent="0.3"/>
  <cols>
    <col min="1" max="1" width="66" customWidth="1"/>
    <col min="2" max="3" width="14" customWidth="1"/>
  </cols>
  <sheetData>
    <row r="1" spans="1:3" ht="17.25" customHeight="1" x14ac:dyDescent="0.3">
      <c r="A1" s="1" t="s">
        <v>133</v>
      </c>
    </row>
    <row r="2" spans="1:3" ht="15" customHeight="1" x14ac:dyDescent="0.3">
      <c r="A2" s="2" t="s">
        <v>134</v>
      </c>
    </row>
    <row r="4" spans="1:3" ht="15" customHeight="1" x14ac:dyDescent="0.3">
      <c r="A4" s="9" t="s">
        <v>135</v>
      </c>
      <c r="B4" s="9" t="s">
        <v>136</v>
      </c>
      <c r="C4" s="9" t="s">
        <v>127</v>
      </c>
    </row>
    <row r="5" spans="1:3" x14ac:dyDescent="0.3">
      <c r="A5" s="10" t="s">
        <v>137</v>
      </c>
      <c r="B5" s="11">
        <f>COUNT('1_Danh sách việc'!M5:M14)</f>
        <v>6</v>
      </c>
      <c r="C5" s="11" t="str">
        <f>IF(B5&gt;=5,"Đạt","Xem lại")</f>
        <v>Đạt</v>
      </c>
    </row>
    <row r="6" spans="1:3" x14ac:dyDescent="0.3">
      <c r="A6" s="10" t="s">
        <v>138</v>
      </c>
      <c r="B6" s="11">
        <f>COUNTIFS('1_Danh sách việc'!O5:O14,"Thiếu",'1_Danh sách việc'!P5:P14,"&lt;&gt;Không làm")</f>
        <v>0</v>
      </c>
      <c r="C6" s="11" t="str">
        <f>IF(B5=0,"",IF(B6=0,"Đạt","Xem lại"))</f>
        <v>Đạt</v>
      </c>
    </row>
    <row r="7" spans="1:3" x14ac:dyDescent="0.3">
      <c r="A7" s="10" t="s">
        <v>139</v>
      </c>
      <c r="B7" s="11">
        <f>COUNTIF('2_Mức tự động'!M6:M8,"Có")</f>
        <v>3</v>
      </c>
      <c r="C7" s="11" t="str">
        <f>IF(B7&gt;=2,"Đạt","Xem lại")</f>
        <v>Đạt</v>
      </c>
    </row>
    <row r="8" spans="1:3" x14ac:dyDescent="0.3">
      <c r="A8" s="10" t="s">
        <v>140</v>
      </c>
      <c r="B8" s="11">
        <f>COUNTA('3_Bảng lộ trình'!B5:B12)</f>
        <v>8</v>
      </c>
      <c r="C8" s="11" t="str">
        <f>IF(B8=8,"Đạt","Xem lại")</f>
        <v>Đạt</v>
      </c>
    </row>
    <row r="9" spans="1:3" x14ac:dyDescent="0.3">
      <c r="A9" s="10" t="s">
        <v>141</v>
      </c>
      <c r="B9" s="11" t="str">
        <f>IF(AND(LEN('3_Bảng lộ trình'!B12)&gt;10,SUMPRODUCT(--ISNUMBER(SEARCH({"0","1","2","3","4","5","6","7","8","9"},'3_Bảng lộ trình'!B12)))&gt;0),"Có","Chưa")</f>
        <v>Có</v>
      </c>
      <c r="C9" s="11" t="str">
        <f>IF(B9="Có","Đạt","Xem lại")</f>
        <v>Đạt</v>
      </c>
    </row>
    <row r="10" spans="1:3" x14ac:dyDescent="0.3">
      <c r="A10" s="10" t="s">
        <v>142</v>
      </c>
      <c r="B10" s="11" t="str">
        <f>IF(AND(LEN('3_Bảng lộ trình'!B11)&gt;10,SUMPRODUCT(--ISNUMBER(SEARCH({"0","1","2","3","4","5","6","7","8","9"},'3_Bảng lộ trình'!B11)))&gt;0),"Có","Chưa")</f>
        <v>Có</v>
      </c>
      <c r="C10" s="11" t="str">
        <f>IF(B10="Có","Đạt","Xem lại")</f>
        <v>Đạt</v>
      </c>
    </row>
    <row r="11" spans="1:3" x14ac:dyDescent="0.3">
      <c r="A11" s="10" t="s">
        <v>143</v>
      </c>
      <c r="B11" s="11">
        <f>COUNTIF('5_Slide lãnh đạo'!D4:D8,"Đạt")</f>
        <v>5</v>
      </c>
      <c r="C11" s="11" t="str">
        <f>IF(B11=5,"Đạt","Xem lại")</f>
        <v>Đạt</v>
      </c>
    </row>
    <row r="12" spans="1:3" x14ac:dyDescent="0.3">
      <c r="A12" s="10" t="s">
        <v>144</v>
      </c>
      <c r="B12" s="11">
        <f>COUNTIF('2_Mức tự động'!L5:L8,"Đạt")</f>
        <v>3</v>
      </c>
      <c r="C12" s="11" t="str">
        <f>IF(B12&gt;=1,"Đạt","Xem lại")</f>
        <v>Đạt</v>
      </c>
    </row>
  </sheetData>
  <sheetProtection sheet="true" formatColumns="false" formatRows="fals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2"/>
  <sheetViews>
    <sheetView workbookViewId="0"/>
  </sheetViews>
  <sheetFormatPr defaultColWidth="8.6640625" defaultRowHeight="14.4" x14ac:dyDescent="0.3"/>
  <cols>
    <col min="1" max="1" width="32" customWidth="1"/>
    <col min="2" max="2" width="30" customWidth="1"/>
    <col min="3" max="3" width="80" customWidth="1"/>
    <col min="4" max="4" width="40" customWidth="1"/>
  </cols>
  <sheetData>
    <row r="1" spans="1:4" ht="17.25" customHeight="1" x14ac:dyDescent="0.3">
      <c r="A1" s="1" t="s">
        <v>145</v>
      </c>
    </row>
    <row r="2" spans="1:4" ht="15" customHeight="1" x14ac:dyDescent="0.3">
      <c r="A2" s="2"/>
    </row>
    <row r="4" spans="1:4" ht="15" customHeight="1" x14ac:dyDescent="0.3">
      <c r="A4" s="9" t="s">
        <v>146</v>
      </c>
      <c r="B4" s="9" t="s">
        <v>147</v>
      </c>
      <c r="C4" s="9" t="s">
        <v>148</v>
      </c>
      <c r="D4" s="9" t="s">
        <v>149</v>
      </c>
    </row>
    <row r="5" spans="1:4" ht="15" customHeight="1" x14ac:dyDescent="0.3">
      <c r="A5" s="10" t="s">
        <v>150</v>
      </c>
      <c r="B5">
        <v>20</v>
      </c>
      <c r="C5" s="26" t="s">
        <v>151</v>
      </c>
      <c r="D5" s="27"/>
    </row>
    <row r="6" spans="1:4" ht="15" customHeight="1" x14ac:dyDescent="0.3">
      <c r="A6" s="10" t="s">
        <v>152</v>
      </c>
      <c r="B6">
        <v>20</v>
      </c>
      <c r="C6" s="26" t="s">
        <v>153</v>
      </c>
      <c r="D6" s="27"/>
    </row>
    <row r="7" spans="1:4" ht="15" customHeight="1" x14ac:dyDescent="0.3">
      <c r="A7" s="10" t="s">
        <v>154</v>
      </c>
      <c r="B7">
        <v>25</v>
      </c>
      <c r="C7" s="26" t="s">
        <v>155</v>
      </c>
      <c r="D7" s="27"/>
    </row>
    <row r="8" spans="1:4" ht="15" customHeight="1" x14ac:dyDescent="0.3">
      <c r="A8" s="10" t="s">
        <v>156</v>
      </c>
      <c r="B8">
        <v>15</v>
      </c>
      <c r="C8" s="26" t="s">
        <v>157</v>
      </c>
      <c r="D8" s="27"/>
    </row>
    <row r="9" spans="1:4" ht="15" customHeight="1" x14ac:dyDescent="0.3">
      <c r="A9" s="10" t="s">
        <v>158</v>
      </c>
      <c r="B9">
        <v>20</v>
      </c>
      <c r="C9" s="26" t="s">
        <v>159</v>
      </c>
      <c r="D9" s="27"/>
    </row>
    <row r="10" spans="1:4" ht="15" customHeight="1" x14ac:dyDescent="0.3">
      <c r="A10" s="8" t="s">
        <v>160</v>
      </c>
      <c r="B10">
        <f>SUM(B5:B9)</f>
        <v>100</v>
      </c>
      <c r="D10" s="11">
        <f>SUM(D5:D9)</f>
        <v>0</v>
      </c>
    </row>
    <row r="12" spans="1:4" ht="15" customHeight="1" x14ac:dyDescent="0.3">
      <c r="A12" s="8"/>
      <c r="D12" s="27"/>
    </row>
    <row r="15" spans="1:4" ht="15" customHeight="1" x14ac:dyDescent="0.3">
      <c r="A15" s="28" t="s">
        <v>161</v>
      </c>
    </row>
    <row r="16" spans="1:4" ht="15" customHeight="1" x14ac:dyDescent="0.3">
      <c r="A16" s="9" t="s">
        <v>146</v>
      </c>
      <c r="B16" s="9" t="s">
        <v>162</v>
      </c>
      <c r="C16" s="9" t="s">
        <v>163</v>
      </c>
      <c r="D16" s="9" t="s">
        <v>164</v>
      </c>
    </row>
    <row r="17" spans="1:4" ht="45.75" customHeight="1" x14ac:dyDescent="0.3">
      <c r="A17" s="29" t="s">
        <v>165</v>
      </c>
      <c r="B17" s="30" t="s">
        <v>166</v>
      </c>
      <c r="C17" s="30" t="s">
        <v>167</v>
      </c>
      <c r="D17" s="30" t="s">
        <v>168</v>
      </c>
    </row>
    <row r="18" spans="1:4" ht="45.75" customHeight="1" x14ac:dyDescent="0.3">
      <c r="A18" s="29" t="s">
        <v>169</v>
      </c>
      <c r="B18" s="30" t="s">
        <v>170</v>
      </c>
      <c r="C18" s="30" t="s">
        <v>171</v>
      </c>
      <c r="D18" s="30" t="s">
        <v>172</v>
      </c>
    </row>
    <row r="19" spans="1:4" ht="45.75" customHeight="1" x14ac:dyDescent="0.3">
      <c r="A19" s="29" t="s">
        <v>173</v>
      </c>
      <c r="B19" s="30" t="s">
        <v>174</v>
      </c>
      <c r="C19" s="30" t="s">
        <v>175</v>
      </c>
      <c r="D19" s="30" t="s">
        <v>176</v>
      </c>
    </row>
    <row r="20" spans="1:4" ht="45.75" customHeight="1" x14ac:dyDescent="0.3">
      <c r="A20" s="29" t="s">
        <v>177</v>
      </c>
      <c r="B20" s="30" t="s">
        <v>178</v>
      </c>
      <c r="C20" s="30" t="s">
        <v>179</v>
      </c>
      <c r="D20" s="30" t="s">
        <v>180</v>
      </c>
    </row>
    <row r="22" spans="1:4" ht="15" customHeight="1" x14ac:dyDescent="0.3">
      <c r="A22" s="20" t="s">
        <v>181</v>
      </c>
    </row>
  </sheetData>
  <sheetProtection sheet="true" formatColumns="false" formatRows="fals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0_Hướng dẫn</vt:lpstr>
      <vt:lpstr>0_Đầu vào</vt:lpstr>
      <vt:lpstr>1_Danh sách việc</vt:lpstr>
      <vt:lpstr>2_Mức tự động</vt:lpstr>
      <vt:lpstr>3_Bảng lộ trình</vt:lpstr>
      <vt:lpstr>4_Rà soát</vt:lpstr>
      <vt:lpstr>5_Slide lãnh đạo</vt:lpstr>
      <vt:lpstr>6_Tự kiểm tra</vt:lpstr>
      <vt:lpstr>7_Thang điểm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Duong Thi Hong Vien</cp:lastModifiedBy>
  <dcterms:modified xsi:type="dcterms:W3CDTF">2026-10-16T15:45:21Z</dcterms:modified>
</cp:coreProperties>
</file>